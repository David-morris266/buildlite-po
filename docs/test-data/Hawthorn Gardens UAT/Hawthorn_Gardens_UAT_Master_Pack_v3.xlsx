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e\Projects\dmcc-cvr-system\docs\test-data\Hawthorn Gardens UAT\"/>
    </mc:Choice>
  </mc:AlternateContent>
  <xr:revisionPtr revIDLastSave="0" documentId="8_{547B66A7-A989-4729-A523-77B7CCC6791B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Read Me" sheetId="1" r:id="rId1"/>
    <sheet name="Development Setup" sheetId="2" r:id="rId2"/>
    <sheet name="Cost Code Master" sheetId="3" r:id="rId3"/>
    <sheet name="Original Budget" sheetId="4" r:id="rId4"/>
    <sheet name="Package PO Plan" sheetId="5" r:id="rId5"/>
    <sheet name="Commercial Events" sheetId="6" r:id="rId6"/>
    <sheet name="Certificates" sheetId="7" r:id="rId7"/>
    <sheet name="Ledger" sheetId="8" r:id="rId8"/>
    <sheet name="Forecast Adjustments" sheetId="9" r:id="rId9"/>
    <sheet name="Expected CVR" sheetId="10" r:id="rId10"/>
    <sheet name="UAT Scenarios" sheetId="11" r:id="rId11"/>
    <sheet name="Matrix Index" sheetId="12" r:id="rId12"/>
    <sheet name="Matrix Stage Profiles" sheetId="13" r:id="rId13"/>
    <sheet name="Plot Schedule Control" sheetId="14" r:id="rId14"/>
    <sheet name="Revenue Strategy Control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3" i="10" l="1"/>
  <c r="F223" i="10"/>
  <c r="E223" i="10"/>
  <c r="G223" i="10" s="1"/>
  <c r="D223" i="10"/>
  <c r="K223" i="10" s="1"/>
  <c r="H222" i="10"/>
  <c r="G222" i="10"/>
  <c r="F222" i="10"/>
  <c r="E222" i="10"/>
  <c r="D222" i="10"/>
  <c r="H221" i="10"/>
  <c r="F221" i="10"/>
  <c r="G221" i="10" s="1"/>
  <c r="E221" i="10"/>
  <c r="D221" i="10"/>
  <c r="H220" i="10"/>
  <c r="F220" i="10"/>
  <c r="E220" i="10"/>
  <c r="G220" i="10" s="1"/>
  <c r="D220" i="10"/>
  <c r="K220" i="10" s="1"/>
  <c r="H219" i="10"/>
  <c r="F219" i="10"/>
  <c r="G219" i="10" s="1"/>
  <c r="E219" i="10"/>
  <c r="D219" i="10"/>
  <c r="K219" i="10" s="1"/>
  <c r="H218" i="10"/>
  <c r="G218" i="10"/>
  <c r="F218" i="10"/>
  <c r="E218" i="10"/>
  <c r="D218" i="10"/>
  <c r="H217" i="10"/>
  <c r="F217" i="10"/>
  <c r="E217" i="10"/>
  <c r="G217" i="10" s="1"/>
  <c r="D217" i="10"/>
  <c r="H216" i="10"/>
  <c r="G216" i="10"/>
  <c r="F216" i="10"/>
  <c r="E216" i="10"/>
  <c r="D216" i="10"/>
  <c r="H215" i="10"/>
  <c r="F215" i="10"/>
  <c r="G215" i="10" s="1"/>
  <c r="E215" i="10"/>
  <c r="D215" i="10"/>
  <c r="H214" i="10"/>
  <c r="F214" i="10"/>
  <c r="E214" i="10"/>
  <c r="D214" i="10"/>
  <c r="K214" i="10" s="1"/>
  <c r="H213" i="10"/>
  <c r="F213" i="10"/>
  <c r="G213" i="10" s="1"/>
  <c r="E213" i="10"/>
  <c r="D213" i="10"/>
  <c r="K213" i="10" s="1"/>
  <c r="H212" i="10"/>
  <c r="F212" i="10"/>
  <c r="E212" i="10"/>
  <c r="G212" i="10" s="1"/>
  <c r="D212" i="10"/>
  <c r="H211" i="10"/>
  <c r="F211" i="10"/>
  <c r="E211" i="10"/>
  <c r="G211" i="10" s="1"/>
  <c r="D211" i="10"/>
  <c r="H210" i="10"/>
  <c r="F210" i="10"/>
  <c r="E210" i="10"/>
  <c r="G210" i="10" s="1"/>
  <c r="D210" i="10"/>
  <c r="H209" i="10"/>
  <c r="F209" i="10"/>
  <c r="E209" i="10"/>
  <c r="G209" i="10" s="1"/>
  <c r="D209" i="10"/>
  <c r="H208" i="10"/>
  <c r="F208" i="10"/>
  <c r="E208" i="10"/>
  <c r="G208" i="10" s="1"/>
  <c r="D208" i="10"/>
  <c r="K208" i="10" s="1"/>
  <c r="H207" i="10"/>
  <c r="F207" i="10"/>
  <c r="E207" i="10"/>
  <c r="G207" i="10" s="1"/>
  <c r="D207" i="10"/>
  <c r="H206" i="10"/>
  <c r="F206" i="10"/>
  <c r="G206" i="10" s="1"/>
  <c r="E206" i="10"/>
  <c r="D206" i="10"/>
  <c r="H205" i="10"/>
  <c r="F205" i="10"/>
  <c r="E205" i="10"/>
  <c r="G205" i="10" s="1"/>
  <c r="D205" i="10"/>
  <c r="K205" i="10" s="1"/>
  <c r="H204" i="10"/>
  <c r="F204" i="10"/>
  <c r="E204" i="10"/>
  <c r="G204" i="10" s="1"/>
  <c r="D204" i="10"/>
  <c r="H203" i="10"/>
  <c r="F203" i="10"/>
  <c r="G203" i="10" s="1"/>
  <c r="E203" i="10"/>
  <c r="D203" i="10"/>
  <c r="H202" i="10"/>
  <c r="F202" i="10"/>
  <c r="E202" i="10"/>
  <c r="D202" i="10"/>
  <c r="K202" i="10" s="1"/>
  <c r="H201" i="10"/>
  <c r="F201" i="10"/>
  <c r="G201" i="10" s="1"/>
  <c r="E201" i="10"/>
  <c r="D201" i="10"/>
  <c r="K201" i="10" s="1"/>
  <c r="H200" i="10"/>
  <c r="F200" i="10"/>
  <c r="E200" i="10"/>
  <c r="G200" i="10" s="1"/>
  <c r="D200" i="10"/>
  <c r="K200" i="10" s="1"/>
  <c r="H199" i="10"/>
  <c r="F199" i="10"/>
  <c r="G199" i="10" s="1"/>
  <c r="E199" i="10"/>
  <c r="D199" i="10"/>
  <c r="K199" i="10" s="1"/>
  <c r="H198" i="10"/>
  <c r="F198" i="10"/>
  <c r="E198" i="10"/>
  <c r="D198" i="10"/>
  <c r="K198" i="10" s="1"/>
  <c r="H197" i="10"/>
  <c r="F197" i="10"/>
  <c r="G197" i="10" s="1"/>
  <c r="E197" i="10"/>
  <c r="D197" i="10"/>
  <c r="K197" i="10" s="1"/>
  <c r="J196" i="10"/>
  <c r="K196" i="10" s="1"/>
  <c r="H196" i="10"/>
  <c r="G196" i="10"/>
  <c r="F196" i="10"/>
  <c r="E196" i="10"/>
  <c r="D196" i="10"/>
  <c r="H195" i="10"/>
  <c r="F195" i="10"/>
  <c r="E195" i="10"/>
  <c r="G195" i="10" s="1"/>
  <c r="D195" i="10"/>
  <c r="H194" i="10"/>
  <c r="F194" i="10"/>
  <c r="E194" i="10"/>
  <c r="G194" i="10" s="1"/>
  <c r="D194" i="10"/>
  <c r="K193" i="10"/>
  <c r="H193" i="10"/>
  <c r="G193" i="10"/>
  <c r="F193" i="10"/>
  <c r="E193" i="10"/>
  <c r="D193" i="10"/>
  <c r="K192" i="10"/>
  <c r="H192" i="10"/>
  <c r="F192" i="10"/>
  <c r="E192" i="10"/>
  <c r="G192" i="10" s="1"/>
  <c r="D192" i="10"/>
  <c r="K191" i="10"/>
  <c r="H191" i="10"/>
  <c r="F191" i="10"/>
  <c r="E191" i="10"/>
  <c r="G191" i="10" s="1"/>
  <c r="D191" i="10"/>
  <c r="H190" i="10"/>
  <c r="F190" i="10"/>
  <c r="E190" i="10"/>
  <c r="G190" i="10" s="1"/>
  <c r="D190" i="10"/>
  <c r="H189" i="10"/>
  <c r="F189" i="10"/>
  <c r="G189" i="10" s="1"/>
  <c r="E189" i="10"/>
  <c r="D189" i="10"/>
  <c r="K189" i="10" s="1"/>
  <c r="H188" i="10"/>
  <c r="F188" i="10"/>
  <c r="E188" i="10"/>
  <c r="G188" i="10" s="1"/>
  <c r="D188" i="10"/>
  <c r="K188" i="10" s="1"/>
  <c r="H187" i="10"/>
  <c r="F187" i="10"/>
  <c r="E187" i="10"/>
  <c r="G187" i="10" s="1"/>
  <c r="D187" i="10"/>
  <c r="K186" i="10"/>
  <c r="H186" i="10"/>
  <c r="F186" i="10"/>
  <c r="E186" i="10"/>
  <c r="G186" i="10" s="1"/>
  <c r="D186" i="10"/>
  <c r="K185" i="10"/>
  <c r="H185" i="10"/>
  <c r="F185" i="10"/>
  <c r="E185" i="10"/>
  <c r="G185" i="10" s="1"/>
  <c r="D185" i="10"/>
  <c r="K184" i="10"/>
  <c r="H184" i="10"/>
  <c r="G184" i="10"/>
  <c r="F184" i="10"/>
  <c r="E184" i="10"/>
  <c r="D184" i="10"/>
  <c r="K183" i="10"/>
  <c r="H183" i="10"/>
  <c r="F183" i="10"/>
  <c r="E183" i="10"/>
  <c r="G183" i="10" s="1"/>
  <c r="D183" i="10"/>
  <c r="H182" i="10"/>
  <c r="F182" i="10"/>
  <c r="G182" i="10" s="1"/>
  <c r="E182" i="10"/>
  <c r="D182" i="10"/>
  <c r="H181" i="10"/>
  <c r="F181" i="10"/>
  <c r="E181" i="10"/>
  <c r="G181" i="10" s="1"/>
  <c r="D181" i="10"/>
  <c r="K181" i="10" s="1"/>
  <c r="H180" i="10"/>
  <c r="F180" i="10"/>
  <c r="E180" i="10"/>
  <c r="G180" i="10" s="1"/>
  <c r="D180" i="10"/>
  <c r="H179" i="10"/>
  <c r="F179" i="10"/>
  <c r="G179" i="10" s="1"/>
  <c r="E179" i="10"/>
  <c r="D179" i="10"/>
  <c r="H178" i="10"/>
  <c r="F178" i="10"/>
  <c r="E178" i="10"/>
  <c r="G178" i="10" s="1"/>
  <c r="D178" i="10"/>
  <c r="K178" i="10" s="1"/>
  <c r="H177" i="10"/>
  <c r="F177" i="10"/>
  <c r="G177" i="10" s="1"/>
  <c r="E177" i="10"/>
  <c r="D177" i="10"/>
  <c r="K177" i="10" s="1"/>
  <c r="H176" i="10"/>
  <c r="F176" i="10"/>
  <c r="E176" i="10"/>
  <c r="G176" i="10" s="1"/>
  <c r="D176" i="10"/>
  <c r="K175" i="10"/>
  <c r="H175" i="10"/>
  <c r="F175" i="10"/>
  <c r="E175" i="10"/>
  <c r="G175" i="10" s="1"/>
  <c r="D175" i="10"/>
  <c r="H174" i="10"/>
  <c r="F174" i="10"/>
  <c r="G174" i="10" s="1"/>
  <c r="E174" i="10"/>
  <c r="D174" i="10"/>
  <c r="H173" i="10"/>
  <c r="G173" i="10"/>
  <c r="F173" i="10"/>
  <c r="E173" i="10"/>
  <c r="D173" i="10"/>
  <c r="K172" i="10"/>
  <c r="H172" i="10"/>
  <c r="F172" i="10"/>
  <c r="E172" i="10"/>
  <c r="G172" i="10" s="1"/>
  <c r="D172" i="10"/>
  <c r="H171" i="10"/>
  <c r="F171" i="10"/>
  <c r="G171" i="10" s="1"/>
  <c r="E171" i="10"/>
  <c r="D171" i="10"/>
  <c r="H170" i="10"/>
  <c r="G170" i="10"/>
  <c r="F170" i="10"/>
  <c r="E170" i="10"/>
  <c r="D170" i="10"/>
  <c r="H169" i="10"/>
  <c r="F169" i="10"/>
  <c r="E169" i="10"/>
  <c r="G169" i="10" s="1"/>
  <c r="D169" i="10"/>
  <c r="H168" i="10"/>
  <c r="F168" i="10"/>
  <c r="E168" i="10"/>
  <c r="G168" i="10" s="1"/>
  <c r="D168" i="10"/>
  <c r="H167" i="10"/>
  <c r="F167" i="10"/>
  <c r="G167" i="10" s="1"/>
  <c r="E167" i="10"/>
  <c r="D167" i="10"/>
  <c r="H166" i="10"/>
  <c r="G166" i="10"/>
  <c r="F166" i="10"/>
  <c r="E166" i="10"/>
  <c r="D166" i="10"/>
  <c r="H165" i="10"/>
  <c r="F165" i="10"/>
  <c r="E165" i="10"/>
  <c r="D165" i="10"/>
  <c r="H164" i="10"/>
  <c r="F164" i="10"/>
  <c r="E164" i="10"/>
  <c r="G164" i="10" s="1"/>
  <c r="D164" i="10"/>
  <c r="H163" i="10"/>
  <c r="F163" i="10"/>
  <c r="G163" i="10" s="1"/>
  <c r="E163" i="10"/>
  <c r="D163" i="10"/>
  <c r="H162" i="10"/>
  <c r="G162" i="10"/>
  <c r="F162" i="10"/>
  <c r="E162" i="10"/>
  <c r="D162" i="10"/>
  <c r="H161" i="10"/>
  <c r="F161" i="10"/>
  <c r="E161" i="10"/>
  <c r="G161" i="10" s="1"/>
  <c r="D161" i="10"/>
  <c r="H160" i="10"/>
  <c r="F160" i="10"/>
  <c r="G160" i="10" s="1"/>
  <c r="E160" i="10"/>
  <c r="D160" i="10"/>
  <c r="K160" i="10" s="1"/>
  <c r="H159" i="10"/>
  <c r="F159" i="10"/>
  <c r="E159" i="10"/>
  <c r="D159" i="10"/>
  <c r="K159" i="10" s="1"/>
  <c r="H158" i="10"/>
  <c r="F158" i="10"/>
  <c r="E158" i="10"/>
  <c r="G158" i="10" s="1"/>
  <c r="D158" i="10"/>
  <c r="H157" i="10"/>
  <c r="F157" i="10"/>
  <c r="G157" i="10" s="1"/>
  <c r="E157" i="10"/>
  <c r="D157" i="10"/>
  <c r="H156" i="10"/>
  <c r="G156" i="10"/>
  <c r="F156" i="10"/>
  <c r="E156" i="10"/>
  <c r="D156" i="10"/>
  <c r="K155" i="10"/>
  <c r="J155" i="10"/>
  <c r="H155" i="10"/>
  <c r="F155" i="10"/>
  <c r="E155" i="10"/>
  <c r="G155" i="10" s="1"/>
  <c r="D155" i="10"/>
  <c r="H154" i="10"/>
  <c r="F154" i="10"/>
  <c r="E154" i="10"/>
  <c r="G154" i="10" s="1"/>
  <c r="D154" i="10"/>
  <c r="H153" i="10"/>
  <c r="F153" i="10"/>
  <c r="G153" i="10" s="1"/>
  <c r="E153" i="10"/>
  <c r="D153" i="10"/>
  <c r="H152" i="10"/>
  <c r="F152" i="10"/>
  <c r="E152" i="10"/>
  <c r="D152" i="10"/>
  <c r="K152" i="10" s="1"/>
  <c r="H151" i="10"/>
  <c r="F151" i="10"/>
  <c r="G151" i="10" s="1"/>
  <c r="E151" i="10"/>
  <c r="D151" i="10"/>
  <c r="K151" i="10" s="1"/>
  <c r="H150" i="10"/>
  <c r="F150" i="10"/>
  <c r="E150" i="10"/>
  <c r="G150" i="10" s="1"/>
  <c r="D150" i="10"/>
  <c r="K150" i="10" s="1"/>
  <c r="H149" i="10"/>
  <c r="F149" i="10"/>
  <c r="G149" i="10" s="1"/>
  <c r="E149" i="10"/>
  <c r="D149" i="10"/>
  <c r="K149" i="10" s="1"/>
  <c r="H148" i="10"/>
  <c r="G148" i="10"/>
  <c r="F148" i="10"/>
  <c r="E148" i="10"/>
  <c r="D148" i="10"/>
  <c r="K147" i="10"/>
  <c r="J147" i="10"/>
  <c r="H147" i="10"/>
  <c r="F147" i="10"/>
  <c r="E147" i="10"/>
  <c r="D147" i="10"/>
  <c r="J146" i="10"/>
  <c r="H146" i="10"/>
  <c r="F146" i="10"/>
  <c r="E146" i="10"/>
  <c r="G146" i="10" s="1"/>
  <c r="D146" i="10"/>
  <c r="K146" i="10" s="1"/>
  <c r="H145" i="10"/>
  <c r="F145" i="10"/>
  <c r="G145" i="10" s="1"/>
  <c r="E145" i="10"/>
  <c r="D145" i="10"/>
  <c r="J144" i="10"/>
  <c r="K144" i="10" s="1"/>
  <c r="H144" i="10"/>
  <c r="G144" i="10"/>
  <c r="F144" i="10"/>
  <c r="E144" i="10"/>
  <c r="D144" i="10"/>
  <c r="H143" i="10"/>
  <c r="F143" i="10"/>
  <c r="E143" i="10"/>
  <c r="G143" i="10" s="1"/>
  <c r="D143" i="10"/>
  <c r="H142" i="10"/>
  <c r="F142" i="10"/>
  <c r="E142" i="10"/>
  <c r="G142" i="10" s="1"/>
  <c r="D142" i="10"/>
  <c r="H141" i="10"/>
  <c r="F141" i="10"/>
  <c r="G141" i="10" s="1"/>
  <c r="E141" i="10"/>
  <c r="D141" i="10"/>
  <c r="H140" i="10"/>
  <c r="G140" i="10"/>
  <c r="F140" i="10"/>
  <c r="E140" i="10"/>
  <c r="D140" i="10"/>
  <c r="K139" i="10"/>
  <c r="J139" i="10"/>
  <c r="H139" i="10"/>
  <c r="F139" i="10"/>
  <c r="E139" i="10"/>
  <c r="D139" i="10"/>
  <c r="H138" i="10"/>
  <c r="F138" i="10"/>
  <c r="E138" i="10"/>
  <c r="G138" i="10" s="1"/>
  <c r="D138" i="10"/>
  <c r="H137" i="10"/>
  <c r="F137" i="10"/>
  <c r="G137" i="10" s="1"/>
  <c r="E137" i="10"/>
  <c r="D137" i="10"/>
  <c r="H136" i="10"/>
  <c r="G136" i="10"/>
  <c r="F136" i="10"/>
  <c r="E136" i="10"/>
  <c r="D136" i="10"/>
  <c r="K135" i="10"/>
  <c r="J135" i="10"/>
  <c r="H135" i="10"/>
  <c r="F135" i="10"/>
  <c r="E135" i="10"/>
  <c r="G135" i="10" s="1"/>
  <c r="D135" i="10"/>
  <c r="J134" i="10"/>
  <c r="H134" i="10"/>
  <c r="F134" i="10"/>
  <c r="E134" i="10"/>
  <c r="G134" i="10" s="1"/>
  <c r="D134" i="10"/>
  <c r="K134" i="10" s="1"/>
  <c r="J133" i="10"/>
  <c r="H133" i="10"/>
  <c r="F133" i="10"/>
  <c r="G133" i="10" s="1"/>
  <c r="E133" i="10"/>
  <c r="D133" i="10"/>
  <c r="K133" i="10" s="1"/>
  <c r="H132" i="10"/>
  <c r="G132" i="10"/>
  <c r="F132" i="10"/>
  <c r="E132" i="10"/>
  <c r="D132" i="10"/>
  <c r="H131" i="10"/>
  <c r="F131" i="10"/>
  <c r="E131" i="10"/>
  <c r="G131" i="10" s="1"/>
  <c r="D131" i="10"/>
  <c r="J130" i="10"/>
  <c r="H130" i="10"/>
  <c r="F130" i="10"/>
  <c r="E130" i="10"/>
  <c r="G130" i="10" s="1"/>
  <c r="D130" i="10"/>
  <c r="K130" i="10" s="1"/>
  <c r="H129" i="10"/>
  <c r="F129" i="10"/>
  <c r="G129" i="10" s="1"/>
  <c r="E129" i="10"/>
  <c r="D129" i="10"/>
  <c r="J128" i="10"/>
  <c r="K128" i="10" s="1"/>
  <c r="H128" i="10"/>
  <c r="G128" i="10"/>
  <c r="F128" i="10"/>
  <c r="E128" i="10"/>
  <c r="D128" i="10"/>
  <c r="H127" i="10"/>
  <c r="F127" i="10"/>
  <c r="E127" i="10"/>
  <c r="G127" i="10" s="1"/>
  <c r="D127" i="10"/>
  <c r="H126" i="10"/>
  <c r="F126" i="10"/>
  <c r="E126" i="10"/>
  <c r="G126" i="10" s="1"/>
  <c r="D126" i="10"/>
  <c r="H125" i="10"/>
  <c r="F125" i="10"/>
  <c r="G125" i="10" s="1"/>
  <c r="E125" i="10"/>
  <c r="D125" i="10"/>
  <c r="H124" i="10"/>
  <c r="G124" i="10"/>
  <c r="F124" i="10"/>
  <c r="E124" i="10"/>
  <c r="D124" i="10"/>
  <c r="K123" i="10"/>
  <c r="J123" i="10"/>
  <c r="H123" i="10"/>
  <c r="F123" i="10"/>
  <c r="E123" i="10"/>
  <c r="G123" i="10" s="1"/>
  <c r="D123" i="10"/>
  <c r="J122" i="10"/>
  <c r="H122" i="10"/>
  <c r="F122" i="10"/>
  <c r="E122" i="10"/>
  <c r="G122" i="10" s="1"/>
  <c r="D122" i="10"/>
  <c r="K122" i="10" s="1"/>
  <c r="H121" i="10"/>
  <c r="F121" i="10"/>
  <c r="G121" i="10" s="1"/>
  <c r="E121" i="10"/>
  <c r="D121" i="10"/>
  <c r="H120" i="10"/>
  <c r="G120" i="10"/>
  <c r="F120" i="10"/>
  <c r="E120" i="10"/>
  <c r="D120" i="10"/>
  <c r="H119" i="10"/>
  <c r="F119" i="10"/>
  <c r="E119" i="10"/>
  <c r="G119" i="10" s="1"/>
  <c r="D119" i="10"/>
  <c r="H118" i="10"/>
  <c r="F118" i="10"/>
  <c r="G118" i="10" s="1"/>
  <c r="E118" i="10"/>
  <c r="D118" i="10"/>
  <c r="K118" i="10" s="1"/>
  <c r="H117" i="10"/>
  <c r="F117" i="10"/>
  <c r="E117" i="10"/>
  <c r="D117" i="10"/>
  <c r="K117" i="10" s="1"/>
  <c r="H116" i="10"/>
  <c r="F116" i="10"/>
  <c r="E116" i="10"/>
  <c r="G116" i="10" s="1"/>
  <c r="D116" i="10"/>
  <c r="H115" i="10"/>
  <c r="F115" i="10"/>
  <c r="G115" i="10" s="1"/>
  <c r="E115" i="10"/>
  <c r="D115" i="10"/>
  <c r="H114" i="10"/>
  <c r="F114" i="10"/>
  <c r="E114" i="10"/>
  <c r="G114" i="10" s="1"/>
  <c r="D114" i="10"/>
  <c r="K114" i="10" s="1"/>
  <c r="H113" i="10"/>
  <c r="F113" i="10"/>
  <c r="E113" i="10"/>
  <c r="G113" i="10" s="1"/>
  <c r="D113" i="10"/>
  <c r="H112" i="10"/>
  <c r="F112" i="10"/>
  <c r="G112" i="10" s="1"/>
  <c r="E112" i="10"/>
  <c r="D112" i="10"/>
  <c r="H111" i="10"/>
  <c r="G111" i="10"/>
  <c r="F111" i="10"/>
  <c r="E111" i="10"/>
  <c r="D111" i="10"/>
  <c r="H110" i="10"/>
  <c r="F110" i="10"/>
  <c r="E110" i="10"/>
  <c r="D110" i="10"/>
  <c r="H109" i="10"/>
  <c r="F109" i="10"/>
  <c r="E109" i="10"/>
  <c r="G109" i="10" s="1"/>
  <c r="D109" i="10"/>
  <c r="H108" i="10"/>
  <c r="F108" i="10"/>
  <c r="G108" i="10" s="1"/>
  <c r="E108" i="10"/>
  <c r="D108" i="10"/>
  <c r="H107" i="10"/>
  <c r="G107" i="10"/>
  <c r="F107" i="10"/>
  <c r="E107" i="10"/>
  <c r="D107" i="10"/>
  <c r="H106" i="10"/>
  <c r="F106" i="10"/>
  <c r="E106" i="10"/>
  <c r="G106" i="10" s="1"/>
  <c r="D106" i="10"/>
  <c r="H105" i="10"/>
  <c r="F105" i="10"/>
  <c r="E105" i="10"/>
  <c r="G105" i="10" s="1"/>
  <c r="D105" i="10"/>
  <c r="H104" i="10"/>
  <c r="F104" i="10"/>
  <c r="G104" i="10" s="1"/>
  <c r="E104" i="10"/>
  <c r="D104" i="10"/>
  <c r="H103" i="10"/>
  <c r="G103" i="10"/>
  <c r="F103" i="10"/>
  <c r="E103" i="10"/>
  <c r="D103" i="10"/>
  <c r="H102" i="10"/>
  <c r="F102" i="10"/>
  <c r="E102" i="10"/>
  <c r="G102" i="10" s="1"/>
  <c r="D102" i="10"/>
  <c r="H101" i="10"/>
  <c r="F101" i="10"/>
  <c r="E101" i="10"/>
  <c r="G101" i="10" s="1"/>
  <c r="D101" i="10"/>
  <c r="H100" i="10"/>
  <c r="F100" i="10"/>
  <c r="G100" i="10" s="1"/>
  <c r="E100" i="10"/>
  <c r="D100" i="10"/>
  <c r="H99" i="10"/>
  <c r="G99" i="10"/>
  <c r="F99" i="10"/>
  <c r="E99" i="10"/>
  <c r="D99" i="10"/>
  <c r="H98" i="10"/>
  <c r="F98" i="10"/>
  <c r="E98" i="10"/>
  <c r="G98" i="10" s="1"/>
  <c r="D98" i="10"/>
  <c r="H97" i="10"/>
  <c r="F97" i="10"/>
  <c r="G97" i="10" s="1"/>
  <c r="E97" i="10"/>
  <c r="D97" i="10"/>
  <c r="K97" i="10" s="1"/>
  <c r="H96" i="10"/>
  <c r="G96" i="10"/>
  <c r="F96" i="10"/>
  <c r="E96" i="10"/>
  <c r="D96" i="10"/>
  <c r="H95" i="10"/>
  <c r="F95" i="10"/>
  <c r="E95" i="10"/>
  <c r="G95" i="10" s="1"/>
  <c r="D95" i="10"/>
  <c r="H94" i="10"/>
  <c r="F94" i="10"/>
  <c r="E94" i="10"/>
  <c r="G94" i="10" s="1"/>
  <c r="D94" i="10"/>
  <c r="H93" i="10"/>
  <c r="F93" i="10"/>
  <c r="G93" i="10" s="1"/>
  <c r="E93" i="10"/>
  <c r="D93" i="10"/>
  <c r="H92" i="10"/>
  <c r="G92" i="10"/>
  <c r="F92" i="10"/>
  <c r="E92" i="10"/>
  <c r="D92" i="10"/>
  <c r="H91" i="10"/>
  <c r="F91" i="10"/>
  <c r="E91" i="10"/>
  <c r="G91" i="10" s="1"/>
  <c r="D91" i="10"/>
  <c r="H90" i="10"/>
  <c r="F90" i="10"/>
  <c r="G90" i="10" s="1"/>
  <c r="E90" i="10"/>
  <c r="D90" i="10"/>
  <c r="K90" i="10" s="1"/>
  <c r="H89" i="10"/>
  <c r="G89" i="10"/>
  <c r="F89" i="10"/>
  <c r="E89" i="10"/>
  <c r="D89" i="10"/>
  <c r="H88" i="10"/>
  <c r="F88" i="10"/>
  <c r="E88" i="10"/>
  <c r="D88" i="10"/>
  <c r="H87" i="10"/>
  <c r="F87" i="10"/>
  <c r="G87" i="10" s="1"/>
  <c r="E87" i="10"/>
  <c r="D87" i="10"/>
  <c r="H86" i="10"/>
  <c r="F86" i="10"/>
  <c r="E86" i="10"/>
  <c r="G86" i="10" s="1"/>
  <c r="D86" i="10"/>
  <c r="K86" i="10" s="1"/>
  <c r="H85" i="10"/>
  <c r="F85" i="10"/>
  <c r="G85" i="10" s="1"/>
  <c r="E85" i="10"/>
  <c r="D85" i="10"/>
  <c r="K85" i="10" s="1"/>
  <c r="H84" i="10"/>
  <c r="G84" i="10"/>
  <c r="F84" i="10"/>
  <c r="E84" i="10"/>
  <c r="D84" i="10"/>
  <c r="H83" i="10"/>
  <c r="F83" i="10"/>
  <c r="E83" i="10"/>
  <c r="G83" i="10" s="1"/>
  <c r="D83" i="10"/>
  <c r="J82" i="10"/>
  <c r="H82" i="10"/>
  <c r="F82" i="10"/>
  <c r="E82" i="10"/>
  <c r="G82" i="10" s="1"/>
  <c r="D82" i="10"/>
  <c r="K82" i="10" s="1"/>
  <c r="J81" i="10"/>
  <c r="H81" i="10"/>
  <c r="F81" i="10"/>
  <c r="G81" i="10" s="1"/>
  <c r="E81" i="10"/>
  <c r="D81" i="10"/>
  <c r="K81" i="10" s="1"/>
  <c r="H80" i="10"/>
  <c r="F80" i="10"/>
  <c r="E80" i="10"/>
  <c r="G80" i="10" s="1"/>
  <c r="D80" i="10"/>
  <c r="K80" i="10" s="1"/>
  <c r="H79" i="10"/>
  <c r="F79" i="10"/>
  <c r="E79" i="10"/>
  <c r="G79" i="10" s="1"/>
  <c r="D79" i="10"/>
  <c r="H78" i="10"/>
  <c r="F78" i="10"/>
  <c r="G78" i="10" s="1"/>
  <c r="E78" i="10"/>
  <c r="D78" i="10"/>
  <c r="K77" i="10"/>
  <c r="H77" i="10"/>
  <c r="F77" i="10"/>
  <c r="E77" i="10"/>
  <c r="G77" i="10" s="1"/>
  <c r="D77" i="10"/>
  <c r="H76" i="10"/>
  <c r="F76" i="10"/>
  <c r="E76" i="10"/>
  <c r="G76" i="10" s="1"/>
  <c r="D76" i="10"/>
  <c r="K75" i="10"/>
  <c r="H75" i="10"/>
  <c r="F75" i="10"/>
  <c r="E75" i="10"/>
  <c r="G75" i="10" s="1"/>
  <c r="D75" i="10"/>
  <c r="H74" i="10"/>
  <c r="F74" i="10"/>
  <c r="E74" i="10"/>
  <c r="G74" i="10" s="1"/>
  <c r="D74" i="10"/>
  <c r="K74" i="10" s="1"/>
  <c r="K73" i="10"/>
  <c r="H73" i="10"/>
  <c r="G73" i="10"/>
  <c r="F73" i="10"/>
  <c r="E73" i="10"/>
  <c r="D73" i="10"/>
  <c r="H72" i="10"/>
  <c r="F72" i="10"/>
  <c r="E72" i="10"/>
  <c r="G72" i="10" s="1"/>
  <c r="D72" i="10"/>
  <c r="H71" i="10"/>
  <c r="G71" i="10"/>
  <c r="F71" i="10"/>
  <c r="E71" i="10"/>
  <c r="D71" i="10"/>
  <c r="K71" i="10" s="1"/>
  <c r="H70" i="10"/>
  <c r="F70" i="10"/>
  <c r="E70" i="10"/>
  <c r="G70" i="10" s="1"/>
  <c r="D70" i="10"/>
  <c r="H69" i="10"/>
  <c r="F69" i="10"/>
  <c r="E69" i="10"/>
  <c r="G69" i="10" s="1"/>
  <c r="D69" i="10"/>
  <c r="H68" i="10"/>
  <c r="F68" i="10"/>
  <c r="G68" i="10" s="1"/>
  <c r="E68" i="10"/>
  <c r="D68" i="10"/>
  <c r="K68" i="10" s="1"/>
  <c r="K67" i="10"/>
  <c r="H67" i="10"/>
  <c r="F67" i="10"/>
  <c r="E67" i="10"/>
  <c r="D67" i="10"/>
  <c r="H66" i="10"/>
  <c r="F66" i="10"/>
  <c r="E66" i="10"/>
  <c r="G66" i="10" s="1"/>
  <c r="D66" i="10"/>
  <c r="H65" i="10"/>
  <c r="F65" i="10"/>
  <c r="G65" i="10" s="1"/>
  <c r="E65" i="10"/>
  <c r="D65" i="10"/>
  <c r="H64" i="10"/>
  <c r="F64" i="10"/>
  <c r="E64" i="10"/>
  <c r="G64" i="10" s="1"/>
  <c r="D64" i="10"/>
  <c r="K64" i="10" s="1"/>
  <c r="H63" i="10"/>
  <c r="F63" i="10"/>
  <c r="E63" i="10"/>
  <c r="G63" i="10" s="1"/>
  <c r="D63" i="10"/>
  <c r="K62" i="10"/>
  <c r="H62" i="10"/>
  <c r="G62" i="10"/>
  <c r="F62" i="10"/>
  <c r="E62" i="10"/>
  <c r="D62" i="10"/>
  <c r="H61" i="10"/>
  <c r="F61" i="10"/>
  <c r="E61" i="10"/>
  <c r="G61" i="10" s="1"/>
  <c r="D61" i="10"/>
  <c r="H60" i="10"/>
  <c r="G60" i="10"/>
  <c r="F60" i="10"/>
  <c r="E60" i="10"/>
  <c r="D60" i="10"/>
  <c r="H59" i="10"/>
  <c r="F59" i="10"/>
  <c r="G59" i="10" s="1"/>
  <c r="E59" i="10"/>
  <c r="D59" i="10"/>
  <c r="H58" i="10"/>
  <c r="F58" i="10"/>
  <c r="E58" i="10"/>
  <c r="G58" i="10" s="1"/>
  <c r="D58" i="10"/>
  <c r="K58" i="10" s="1"/>
  <c r="H57" i="10"/>
  <c r="F57" i="10"/>
  <c r="E57" i="10"/>
  <c r="G57" i="10" s="1"/>
  <c r="D57" i="10"/>
  <c r="H56" i="10"/>
  <c r="F56" i="10"/>
  <c r="G56" i="10" s="1"/>
  <c r="E56" i="10"/>
  <c r="D56" i="10"/>
  <c r="K55" i="10"/>
  <c r="H55" i="10"/>
  <c r="F55" i="10"/>
  <c r="E55" i="10"/>
  <c r="D55" i="10"/>
  <c r="H54" i="10"/>
  <c r="F54" i="10"/>
  <c r="E54" i="10"/>
  <c r="G54" i="10" s="1"/>
  <c r="D54" i="10"/>
  <c r="K53" i="10"/>
  <c r="H53" i="10"/>
  <c r="F53" i="10"/>
  <c r="E53" i="10"/>
  <c r="G53" i="10" s="1"/>
  <c r="D53" i="10"/>
  <c r="H52" i="10"/>
  <c r="F52" i="10"/>
  <c r="E52" i="10"/>
  <c r="G52" i="10" s="1"/>
  <c r="D52" i="10"/>
  <c r="H51" i="10"/>
  <c r="F51" i="10"/>
  <c r="G51" i="10" s="1"/>
  <c r="E51" i="10"/>
  <c r="D51" i="10"/>
  <c r="K51" i="10" s="1"/>
  <c r="H50" i="10"/>
  <c r="G50" i="10"/>
  <c r="F50" i="10"/>
  <c r="E50" i="10"/>
  <c r="D50" i="10"/>
  <c r="H49" i="10"/>
  <c r="F49" i="10"/>
  <c r="E49" i="10"/>
  <c r="D49" i="10"/>
  <c r="H48" i="10"/>
  <c r="F48" i="10"/>
  <c r="G48" i="10" s="1"/>
  <c r="E48" i="10"/>
  <c r="D48" i="10"/>
  <c r="K48" i="10" s="1"/>
  <c r="H47" i="10"/>
  <c r="G47" i="10"/>
  <c r="F47" i="10"/>
  <c r="E47" i="10"/>
  <c r="D47" i="10"/>
  <c r="H46" i="10"/>
  <c r="F46" i="10"/>
  <c r="E46" i="10"/>
  <c r="D46" i="10"/>
  <c r="H45" i="10"/>
  <c r="G45" i="10"/>
  <c r="F45" i="10"/>
  <c r="E45" i="10"/>
  <c r="D45" i="10"/>
  <c r="H44" i="10"/>
  <c r="F44" i="10"/>
  <c r="G44" i="10" s="1"/>
  <c r="E44" i="10"/>
  <c r="D44" i="10"/>
  <c r="K43" i="10"/>
  <c r="H43" i="10"/>
  <c r="F43" i="10"/>
  <c r="E43" i="10"/>
  <c r="D43" i="10"/>
  <c r="H42" i="10"/>
  <c r="G42" i="10"/>
  <c r="F42" i="10"/>
  <c r="E42" i="10"/>
  <c r="D42" i="10"/>
  <c r="H41" i="10"/>
  <c r="G41" i="10"/>
  <c r="F41" i="10"/>
  <c r="E41" i="10"/>
  <c r="D41" i="10"/>
  <c r="H40" i="10"/>
  <c r="F40" i="10"/>
  <c r="E40" i="10"/>
  <c r="G40" i="10" s="1"/>
  <c r="D40" i="10"/>
  <c r="H39" i="10"/>
  <c r="G39" i="10"/>
  <c r="F39" i="10"/>
  <c r="E39" i="10"/>
  <c r="D39" i="10"/>
  <c r="K39" i="10" s="1"/>
  <c r="H38" i="10"/>
  <c r="F38" i="10"/>
  <c r="G38" i="10" s="1"/>
  <c r="E38" i="10"/>
  <c r="D38" i="10"/>
  <c r="H37" i="10"/>
  <c r="F37" i="10"/>
  <c r="E37" i="10"/>
  <c r="G37" i="10" s="1"/>
  <c r="D37" i="10"/>
  <c r="H36" i="10"/>
  <c r="F36" i="10"/>
  <c r="E36" i="10"/>
  <c r="D36" i="10"/>
  <c r="H35" i="10"/>
  <c r="G35" i="10"/>
  <c r="F35" i="10"/>
  <c r="E35" i="10"/>
  <c r="D35" i="10"/>
  <c r="H34" i="10"/>
  <c r="F34" i="10"/>
  <c r="G34" i="10" s="1"/>
  <c r="E34" i="10"/>
  <c r="D34" i="10"/>
  <c r="H33" i="10"/>
  <c r="F33" i="10"/>
  <c r="E33" i="10"/>
  <c r="G33" i="10" s="1"/>
  <c r="D33" i="10"/>
  <c r="H32" i="10"/>
  <c r="F32" i="10"/>
  <c r="E32" i="10"/>
  <c r="G32" i="10" s="1"/>
  <c r="D32" i="10"/>
  <c r="H31" i="10"/>
  <c r="F31" i="10"/>
  <c r="G31" i="10" s="1"/>
  <c r="E31" i="10"/>
  <c r="D31" i="10"/>
  <c r="K31" i="10" s="1"/>
  <c r="H30" i="10"/>
  <c r="F30" i="10"/>
  <c r="E30" i="10"/>
  <c r="G30" i="10" s="1"/>
  <c r="D30" i="10"/>
  <c r="H29" i="10"/>
  <c r="F29" i="10"/>
  <c r="E29" i="10"/>
  <c r="D29" i="10"/>
  <c r="H28" i="10"/>
  <c r="G28" i="10"/>
  <c r="F28" i="10"/>
  <c r="E28" i="10"/>
  <c r="D28" i="10"/>
  <c r="H27" i="10"/>
  <c r="F27" i="10"/>
  <c r="G27" i="10" s="1"/>
  <c r="E27" i="10"/>
  <c r="D27" i="10"/>
  <c r="H26" i="10"/>
  <c r="F26" i="10"/>
  <c r="E26" i="10"/>
  <c r="G26" i="10" s="1"/>
  <c r="D26" i="10"/>
  <c r="H25" i="10"/>
  <c r="F25" i="10"/>
  <c r="E25" i="10"/>
  <c r="G25" i="10" s="1"/>
  <c r="D25" i="10"/>
  <c r="H24" i="10"/>
  <c r="F24" i="10"/>
  <c r="E24" i="10"/>
  <c r="B5" i="10" s="1"/>
  <c r="D24" i="10"/>
  <c r="H23" i="10"/>
  <c r="F23" i="10"/>
  <c r="G23" i="10" s="1"/>
  <c r="E23" i="10"/>
  <c r="D23" i="10"/>
  <c r="H22" i="10"/>
  <c r="G22" i="10"/>
  <c r="F22" i="10"/>
  <c r="E22" i="10"/>
  <c r="D22" i="10"/>
  <c r="H21" i="10"/>
  <c r="F21" i="10"/>
  <c r="E21" i="10"/>
  <c r="G21" i="10" s="1"/>
  <c r="D21" i="10"/>
  <c r="H20" i="10"/>
  <c r="F20" i="10"/>
  <c r="G20" i="10" s="1"/>
  <c r="E20" i="10"/>
  <c r="D20" i="10"/>
  <c r="K20" i="10" s="1"/>
  <c r="H19" i="10"/>
  <c r="F19" i="10"/>
  <c r="E19" i="10"/>
  <c r="D19" i="10"/>
  <c r="K19" i="10" s="1"/>
  <c r="H18" i="10"/>
  <c r="F18" i="10"/>
  <c r="G18" i="10" s="1"/>
  <c r="E18" i="10"/>
  <c r="D18" i="10"/>
  <c r="K18" i="10" s="1"/>
  <c r="H17" i="10"/>
  <c r="F17" i="10"/>
  <c r="E17" i="10"/>
  <c r="G17" i="10" s="1"/>
  <c r="D17" i="10"/>
  <c r="H16" i="10"/>
  <c r="F16" i="10"/>
  <c r="E16" i="10"/>
  <c r="G16" i="10" s="1"/>
  <c r="D16" i="10"/>
  <c r="H15" i="10"/>
  <c r="B7" i="10" s="1"/>
  <c r="F15" i="10"/>
  <c r="G15" i="10" s="1"/>
  <c r="E15" i="10"/>
  <c r="D15" i="10"/>
  <c r="B4" i="10" s="1"/>
  <c r="H14" i="10"/>
  <c r="F14" i="10"/>
  <c r="G14" i="10" s="1"/>
  <c r="E14" i="10"/>
  <c r="D14" i="10"/>
  <c r="O12" i="10"/>
  <c r="O11" i="10"/>
  <c r="O10" i="10"/>
  <c r="B6" i="10"/>
  <c r="E150" i="9"/>
  <c r="D150" i="9"/>
  <c r="F150" i="9" s="1"/>
  <c r="F149" i="9"/>
  <c r="J221" i="10" s="1"/>
  <c r="E149" i="9"/>
  <c r="D149" i="9"/>
  <c r="F148" i="9"/>
  <c r="E148" i="9"/>
  <c r="D148" i="9"/>
  <c r="E147" i="9"/>
  <c r="D147" i="9"/>
  <c r="F147" i="9" s="1"/>
  <c r="E146" i="9"/>
  <c r="D146" i="9"/>
  <c r="F146" i="9" s="1"/>
  <c r="F145" i="9"/>
  <c r="J215" i="10" s="1"/>
  <c r="E145" i="9"/>
  <c r="D145" i="9"/>
  <c r="E144" i="9"/>
  <c r="D144" i="9"/>
  <c r="F144" i="9" s="1"/>
  <c r="F143" i="9"/>
  <c r="J211" i="10" s="1"/>
  <c r="K211" i="10" s="1"/>
  <c r="E143" i="9"/>
  <c r="D143" i="9"/>
  <c r="E142" i="9"/>
  <c r="D142" i="9"/>
  <c r="F142" i="9" s="1"/>
  <c r="F141" i="9"/>
  <c r="J209" i="10" s="1"/>
  <c r="E141" i="9"/>
  <c r="D141" i="9"/>
  <c r="E140" i="9"/>
  <c r="D140" i="9"/>
  <c r="F140" i="9" s="1"/>
  <c r="F139" i="9"/>
  <c r="J206" i="10" s="1"/>
  <c r="E139" i="9"/>
  <c r="D139" i="9"/>
  <c r="E138" i="9"/>
  <c r="D138" i="9"/>
  <c r="F138" i="9" s="1"/>
  <c r="F137" i="9"/>
  <c r="J203" i="10" s="1"/>
  <c r="E137" i="9"/>
  <c r="D137" i="9"/>
  <c r="G136" i="9"/>
  <c r="E136" i="9"/>
  <c r="D136" i="9"/>
  <c r="E135" i="9"/>
  <c r="D135" i="9"/>
  <c r="F135" i="9" s="1"/>
  <c r="E134" i="9"/>
  <c r="D134" i="9"/>
  <c r="F134" i="9" s="1"/>
  <c r="E133" i="9"/>
  <c r="D133" i="9"/>
  <c r="F133" i="9" s="1"/>
  <c r="E132" i="9"/>
  <c r="D132" i="9"/>
  <c r="F132" i="9" s="1"/>
  <c r="E131" i="9"/>
  <c r="D131" i="9"/>
  <c r="F131" i="9" s="1"/>
  <c r="E130" i="9"/>
  <c r="D130" i="9"/>
  <c r="F130" i="9" s="1"/>
  <c r="E129" i="9"/>
  <c r="D129" i="9"/>
  <c r="F129" i="9" s="1"/>
  <c r="E128" i="9"/>
  <c r="D128" i="9"/>
  <c r="F128" i="9" s="1"/>
  <c r="E127" i="9"/>
  <c r="D127" i="9"/>
  <c r="F127" i="9" s="1"/>
  <c r="E126" i="9"/>
  <c r="D126" i="9"/>
  <c r="F126" i="9" s="1"/>
  <c r="E125" i="9"/>
  <c r="D125" i="9"/>
  <c r="F125" i="9" s="1"/>
  <c r="E124" i="9"/>
  <c r="D124" i="9"/>
  <c r="F124" i="9" s="1"/>
  <c r="E123" i="9"/>
  <c r="D123" i="9"/>
  <c r="F123" i="9" s="1"/>
  <c r="E122" i="9"/>
  <c r="D122" i="9"/>
  <c r="F122" i="9" s="1"/>
  <c r="E121" i="9"/>
  <c r="D121" i="9"/>
  <c r="F121" i="9" s="1"/>
  <c r="E120" i="9"/>
  <c r="D120" i="9"/>
  <c r="F120" i="9" s="1"/>
  <c r="E119" i="9"/>
  <c r="D119" i="9"/>
  <c r="F119" i="9" s="1"/>
  <c r="E118" i="9"/>
  <c r="D118" i="9"/>
  <c r="F118" i="9" s="1"/>
  <c r="E117" i="9"/>
  <c r="D117" i="9"/>
  <c r="F117" i="9" s="1"/>
  <c r="E116" i="9"/>
  <c r="D116" i="9"/>
  <c r="F116" i="9" s="1"/>
  <c r="E115" i="9"/>
  <c r="D115" i="9"/>
  <c r="F115" i="9" s="1"/>
  <c r="E114" i="9"/>
  <c r="D114" i="9"/>
  <c r="F114" i="9" s="1"/>
  <c r="E113" i="9"/>
  <c r="D113" i="9"/>
  <c r="F113" i="9" s="1"/>
  <c r="E112" i="9"/>
  <c r="D112" i="9"/>
  <c r="F112" i="9" s="1"/>
  <c r="G111" i="9"/>
  <c r="E111" i="9"/>
  <c r="D111" i="9"/>
  <c r="E110" i="9"/>
  <c r="D110" i="9"/>
  <c r="F110" i="9" s="1"/>
  <c r="E109" i="9"/>
  <c r="D109" i="9"/>
  <c r="F109" i="9" s="1"/>
  <c r="E108" i="9"/>
  <c r="D108" i="9"/>
  <c r="F108" i="9" s="1"/>
  <c r="G107" i="9"/>
  <c r="E107" i="9"/>
  <c r="D107" i="9"/>
  <c r="G106" i="9"/>
  <c r="E106" i="9"/>
  <c r="D106" i="9"/>
  <c r="F105" i="9"/>
  <c r="J145" i="10" s="1"/>
  <c r="E105" i="9"/>
  <c r="D105" i="9"/>
  <c r="G104" i="9"/>
  <c r="E104" i="9"/>
  <c r="D104" i="9"/>
  <c r="E103" i="9"/>
  <c r="D103" i="9"/>
  <c r="F103" i="9" s="1"/>
  <c r="E102" i="9"/>
  <c r="D102" i="9"/>
  <c r="F102" i="9" s="1"/>
  <c r="E101" i="9"/>
  <c r="D101" i="9"/>
  <c r="F101" i="9" s="1"/>
  <c r="E100" i="9"/>
  <c r="D100" i="9"/>
  <c r="F100" i="9" s="1"/>
  <c r="G99" i="9"/>
  <c r="E99" i="9"/>
  <c r="D99" i="9"/>
  <c r="E98" i="9"/>
  <c r="D98" i="9"/>
  <c r="F98" i="9" s="1"/>
  <c r="E97" i="9"/>
  <c r="D97" i="9"/>
  <c r="F97" i="9" s="1"/>
  <c r="E96" i="9"/>
  <c r="D96" i="9"/>
  <c r="F96" i="9" s="1"/>
  <c r="G95" i="9"/>
  <c r="E95" i="9"/>
  <c r="D95" i="9"/>
  <c r="G94" i="9"/>
  <c r="E94" i="9"/>
  <c r="D94" i="9"/>
  <c r="G93" i="9"/>
  <c r="E93" i="9"/>
  <c r="D93" i="9"/>
  <c r="E92" i="9"/>
  <c r="D92" i="9"/>
  <c r="F92" i="9" s="1"/>
  <c r="E91" i="9"/>
  <c r="D91" i="9"/>
  <c r="F91" i="9" s="1"/>
  <c r="G90" i="9"/>
  <c r="E90" i="9"/>
  <c r="D90" i="9"/>
  <c r="E89" i="9"/>
  <c r="D89" i="9"/>
  <c r="F89" i="9" s="1"/>
  <c r="G88" i="9"/>
  <c r="E88" i="9"/>
  <c r="D88" i="9"/>
  <c r="G87" i="9"/>
  <c r="F87" i="9"/>
  <c r="J127" i="10" s="1"/>
  <c r="K127" i="10" s="1"/>
  <c r="E87" i="9"/>
  <c r="D87" i="9"/>
  <c r="E86" i="9"/>
  <c r="F86" i="9" s="1"/>
  <c r="D86" i="9"/>
  <c r="G85" i="9"/>
  <c r="F85" i="9"/>
  <c r="J125" i="10" s="1"/>
  <c r="E85" i="9"/>
  <c r="D85" i="9"/>
  <c r="E84" i="9"/>
  <c r="F84" i="9" s="1"/>
  <c r="D84" i="9"/>
  <c r="G83" i="9"/>
  <c r="E83" i="9"/>
  <c r="D83" i="9"/>
  <c r="G82" i="9"/>
  <c r="E82" i="9"/>
  <c r="D82" i="9"/>
  <c r="E81" i="9"/>
  <c r="D81" i="9"/>
  <c r="F81" i="9" s="1"/>
  <c r="E80" i="9"/>
  <c r="D80" i="9"/>
  <c r="F80" i="9" s="1"/>
  <c r="E79" i="9"/>
  <c r="D79" i="9"/>
  <c r="F79" i="9" s="1"/>
  <c r="E78" i="9"/>
  <c r="D78" i="9"/>
  <c r="F78" i="9" s="1"/>
  <c r="E77" i="9"/>
  <c r="D77" i="9"/>
  <c r="F77" i="9" s="1"/>
  <c r="E76" i="9"/>
  <c r="D76" i="9"/>
  <c r="F76" i="9" s="1"/>
  <c r="E75" i="9"/>
  <c r="D75" i="9"/>
  <c r="F75" i="9" s="1"/>
  <c r="E74" i="9"/>
  <c r="D74" i="9"/>
  <c r="F74" i="9" s="1"/>
  <c r="E73" i="9"/>
  <c r="D73" i="9"/>
  <c r="F73" i="9" s="1"/>
  <c r="E72" i="9"/>
  <c r="D72" i="9"/>
  <c r="F72" i="9" s="1"/>
  <c r="E71" i="9"/>
  <c r="D71" i="9"/>
  <c r="F71" i="9" s="1"/>
  <c r="E70" i="9"/>
  <c r="D70" i="9"/>
  <c r="F70" i="9" s="1"/>
  <c r="E69" i="9"/>
  <c r="D69" i="9"/>
  <c r="F69" i="9" s="1"/>
  <c r="E68" i="9"/>
  <c r="D68" i="9"/>
  <c r="F68" i="9" s="1"/>
  <c r="E67" i="9"/>
  <c r="D67" i="9"/>
  <c r="F67" i="9" s="1"/>
  <c r="E66" i="9"/>
  <c r="D66" i="9"/>
  <c r="F66" i="9" s="1"/>
  <c r="E65" i="9"/>
  <c r="D65" i="9"/>
  <c r="F65" i="9" s="1"/>
  <c r="E64" i="9"/>
  <c r="D64" i="9"/>
  <c r="F64" i="9" s="1"/>
  <c r="E63" i="9"/>
  <c r="D63" i="9"/>
  <c r="F63" i="9" s="1"/>
  <c r="E62" i="9"/>
  <c r="D62" i="9"/>
  <c r="F62" i="9" s="1"/>
  <c r="E61" i="9"/>
  <c r="D61" i="9"/>
  <c r="F61" i="9" s="1"/>
  <c r="E60" i="9"/>
  <c r="D60" i="9"/>
  <c r="F60" i="9" s="1"/>
  <c r="E59" i="9"/>
  <c r="D59" i="9"/>
  <c r="F59" i="9" s="1"/>
  <c r="E58" i="9"/>
  <c r="D58" i="9"/>
  <c r="F58" i="9" s="1"/>
  <c r="E57" i="9"/>
  <c r="D57" i="9"/>
  <c r="F57" i="9" s="1"/>
  <c r="E56" i="9"/>
  <c r="D56" i="9"/>
  <c r="F56" i="9" s="1"/>
  <c r="E55" i="9"/>
  <c r="D55" i="9"/>
  <c r="F55" i="9" s="1"/>
  <c r="E54" i="9"/>
  <c r="D54" i="9"/>
  <c r="F54" i="9" s="1"/>
  <c r="E53" i="9"/>
  <c r="D53" i="9"/>
  <c r="F53" i="9" s="1"/>
  <c r="E52" i="9"/>
  <c r="D52" i="9"/>
  <c r="F52" i="9" s="1"/>
  <c r="E51" i="9"/>
  <c r="D51" i="9"/>
  <c r="F51" i="9" s="1"/>
  <c r="G50" i="9"/>
  <c r="E50" i="9"/>
  <c r="D50" i="9"/>
  <c r="G49" i="9"/>
  <c r="E49" i="9"/>
  <c r="D49" i="9"/>
  <c r="G48" i="9"/>
  <c r="F48" i="9"/>
  <c r="J79" i="10" s="1"/>
  <c r="E48" i="9"/>
  <c r="D48" i="9"/>
  <c r="E47" i="9"/>
  <c r="F47" i="9" s="1"/>
  <c r="D47" i="9"/>
  <c r="G46" i="9"/>
  <c r="F46" i="9"/>
  <c r="J76" i="10" s="1"/>
  <c r="E46" i="9"/>
  <c r="D46" i="9"/>
  <c r="E45" i="9"/>
  <c r="F45" i="9" s="1"/>
  <c r="D45" i="9"/>
  <c r="G44" i="9"/>
  <c r="F44" i="9"/>
  <c r="J70" i="10" s="1"/>
  <c r="K70" i="10" s="1"/>
  <c r="E44" i="9"/>
  <c r="D44" i="9"/>
  <c r="E43" i="9"/>
  <c r="F43" i="9" s="1"/>
  <c r="D43" i="9"/>
  <c r="G42" i="9"/>
  <c r="F42" i="9"/>
  <c r="J66" i="10" s="1"/>
  <c r="E42" i="9"/>
  <c r="D42" i="9"/>
  <c r="E41" i="9"/>
  <c r="F41" i="9" s="1"/>
  <c r="D41" i="9"/>
  <c r="G40" i="9"/>
  <c r="F40" i="9"/>
  <c r="J63" i="10" s="1"/>
  <c r="E40" i="9"/>
  <c r="D40" i="9"/>
  <c r="E39" i="9"/>
  <c r="F39" i="9" s="1"/>
  <c r="D39" i="9"/>
  <c r="G38" i="9"/>
  <c r="F38" i="9"/>
  <c r="J60" i="10" s="1"/>
  <c r="E38" i="9"/>
  <c r="D38" i="9"/>
  <c r="E37" i="9"/>
  <c r="F37" i="9" s="1"/>
  <c r="D37" i="9"/>
  <c r="G36" i="9"/>
  <c r="F36" i="9"/>
  <c r="J57" i="10" s="1"/>
  <c r="E36" i="9"/>
  <c r="D36" i="9"/>
  <c r="E35" i="9"/>
  <c r="F35" i="9" s="1"/>
  <c r="D35" i="9"/>
  <c r="G34" i="9"/>
  <c r="F34" i="9"/>
  <c r="J54" i="10" s="1"/>
  <c r="E34" i="9"/>
  <c r="D34" i="9"/>
  <c r="E33" i="9"/>
  <c r="F33" i="9" s="1"/>
  <c r="D33" i="9"/>
  <c r="G32" i="9"/>
  <c r="F32" i="9"/>
  <c r="J50" i="10" s="1"/>
  <c r="K50" i="10" s="1"/>
  <c r="E32" i="9"/>
  <c r="D32" i="9"/>
  <c r="E31" i="9"/>
  <c r="F31" i="9" s="1"/>
  <c r="D31" i="9"/>
  <c r="G30" i="9"/>
  <c r="F30" i="9"/>
  <c r="J47" i="10" s="1"/>
  <c r="K47" i="10" s="1"/>
  <c r="E30" i="9"/>
  <c r="D30" i="9"/>
  <c r="E29" i="9"/>
  <c r="F29" i="9" s="1"/>
  <c r="D29" i="9"/>
  <c r="G28" i="9"/>
  <c r="F28" i="9"/>
  <c r="J45" i="10" s="1"/>
  <c r="E28" i="9"/>
  <c r="D28" i="9"/>
  <c r="E27" i="9"/>
  <c r="F27" i="9" s="1"/>
  <c r="D27" i="9"/>
  <c r="G26" i="9"/>
  <c r="F26" i="9"/>
  <c r="J42" i="10" s="1"/>
  <c r="E26" i="9"/>
  <c r="D26" i="9"/>
  <c r="E25" i="9"/>
  <c r="F25" i="9" s="1"/>
  <c r="D25" i="9"/>
  <c r="G24" i="9"/>
  <c r="F24" i="9"/>
  <c r="J40" i="10" s="1"/>
  <c r="K40" i="10" s="1"/>
  <c r="E24" i="9"/>
  <c r="D24" i="9"/>
  <c r="E23" i="9"/>
  <c r="F23" i="9" s="1"/>
  <c r="D23" i="9"/>
  <c r="G22" i="9"/>
  <c r="F22" i="9"/>
  <c r="J37" i="10" s="1"/>
  <c r="K37" i="10" s="1"/>
  <c r="E22" i="9"/>
  <c r="D22" i="9"/>
  <c r="E21" i="9"/>
  <c r="F21" i="9" s="1"/>
  <c r="D21" i="9"/>
  <c r="E20" i="9"/>
  <c r="F20" i="9" s="1"/>
  <c r="D20" i="9"/>
  <c r="E19" i="9"/>
  <c r="F19" i="9" s="1"/>
  <c r="D19" i="9"/>
  <c r="E18" i="9"/>
  <c r="F18" i="9" s="1"/>
  <c r="D18" i="9"/>
  <c r="E17" i="9"/>
  <c r="F17" i="9" s="1"/>
  <c r="D17" i="9"/>
  <c r="E16" i="9"/>
  <c r="F16" i="9" s="1"/>
  <c r="D16" i="9"/>
  <c r="E15" i="9"/>
  <c r="F15" i="9" s="1"/>
  <c r="D15" i="9"/>
  <c r="E14" i="9"/>
  <c r="F14" i="9" s="1"/>
  <c r="D14" i="9"/>
  <c r="E13" i="9"/>
  <c r="F13" i="9" s="1"/>
  <c r="D13" i="9"/>
  <c r="E12" i="9"/>
  <c r="F12" i="9" s="1"/>
  <c r="D12" i="9"/>
  <c r="E11" i="9"/>
  <c r="F11" i="9" s="1"/>
  <c r="D11" i="9"/>
  <c r="E10" i="9"/>
  <c r="F10" i="9" s="1"/>
  <c r="D10" i="9"/>
  <c r="E9" i="9"/>
  <c r="F9" i="9" s="1"/>
  <c r="D9" i="9"/>
  <c r="E8" i="9"/>
  <c r="F8" i="9" s="1"/>
  <c r="D8" i="9"/>
  <c r="E7" i="9"/>
  <c r="F7" i="9" s="1"/>
  <c r="D7" i="9"/>
  <c r="E6" i="9"/>
  <c r="F6" i="9" s="1"/>
  <c r="D6" i="9"/>
  <c r="E5" i="9"/>
  <c r="D5" i="9"/>
  <c r="F5" i="9" s="1"/>
  <c r="E4" i="9"/>
  <c r="F4" i="9" s="1"/>
  <c r="D4" i="9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E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214" i="4" s="1"/>
  <c r="F4" i="4"/>
  <c r="J84" i="10" l="1"/>
  <c r="K84" i="10" s="1"/>
  <c r="G52" i="9"/>
  <c r="J92" i="10"/>
  <c r="K92" i="10" s="1"/>
  <c r="G56" i="9"/>
  <c r="J96" i="10"/>
  <c r="K96" i="10" s="1"/>
  <c r="G60" i="9"/>
  <c r="J101" i="10"/>
  <c r="K101" i="10" s="1"/>
  <c r="G64" i="9"/>
  <c r="J105" i="10"/>
  <c r="G68" i="9"/>
  <c r="J109" i="10"/>
  <c r="G72" i="9"/>
  <c r="J113" i="10"/>
  <c r="G76" i="9"/>
  <c r="J120" i="10"/>
  <c r="G80" i="9"/>
  <c r="J132" i="10"/>
  <c r="K132" i="10" s="1"/>
  <c r="G92" i="9"/>
  <c r="G102" i="9"/>
  <c r="J142" i="10"/>
  <c r="J148" i="10"/>
  <c r="K148" i="10" s="1"/>
  <c r="G108" i="9"/>
  <c r="G7" i="9"/>
  <c r="J21" i="10"/>
  <c r="J25" i="10"/>
  <c r="K25" i="10" s="1"/>
  <c r="G11" i="9"/>
  <c r="G15" i="9"/>
  <c r="J29" i="10"/>
  <c r="K29" i="10" s="1"/>
  <c r="J34" i="10"/>
  <c r="G19" i="9"/>
  <c r="J41" i="10"/>
  <c r="G25" i="9"/>
  <c r="J52" i="10"/>
  <c r="K52" i="10" s="1"/>
  <c r="G33" i="9"/>
  <c r="J65" i="10"/>
  <c r="K65" i="10" s="1"/>
  <c r="G41" i="9"/>
  <c r="G86" i="9"/>
  <c r="J126" i="10"/>
  <c r="J129" i="10"/>
  <c r="G89" i="9"/>
  <c r="J156" i="10"/>
  <c r="K156" i="10" s="1"/>
  <c r="G112" i="9"/>
  <c r="J162" i="10"/>
  <c r="K162" i="10" s="1"/>
  <c r="G116" i="9"/>
  <c r="J166" i="10"/>
  <c r="K166" i="10" s="1"/>
  <c r="G120" i="9"/>
  <c r="J170" i="10"/>
  <c r="K170" i="10" s="1"/>
  <c r="G124" i="9"/>
  <c r="J176" i="10"/>
  <c r="K176" i="10" s="1"/>
  <c r="G128" i="9"/>
  <c r="J187" i="10"/>
  <c r="K187" i="10" s="1"/>
  <c r="G132" i="9"/>
  <c r="J210" i="10"/>
  <c r="G142" i="9"/>
  <c r="J98" i="10"/>
  <c r="K98" i="10" s="1"/>
  <c r="G61" i="9"/>
  <c r="J106" i="10"/>
  <c r="K106" i="10" s="1"/>
  <c r="G69" i="9"/>
  <c r="J121" i="10"/>
  <c r="G81" i="9"/>
  <c r="J143" i="10"/>
  <c r="K143" i="10" s="1"/>
  <c r="G103" i="9"/>
  <c r="J14" i="10"/>
  <c r="G4" i="9"/>
  <c r="G8" i="9"/>
  <c r="J22" i="10"/>
  <c r="K22" i="10" s="1"/>
  <c r="J26" i="10"/>
  <c r="K26" i="10" s="1"/>
  <c r="G12" i="9"/>
  <c r="J30" i="10"/>
  <c r="K30" i="10" s="1"/>
  <c r="G16" i="9"/>
  <c r="G20" i="9"/>
  <c r="J35" i="10"/>
  <c r="K35" i="10" s="1"/>
  <c r="J38" i="10"/>
  <c r="K38" i="10" s="1"/>
  <c r="G23" i="9"/>
  <c r="G31" i="9"/>
  <c r="J49" i="10"/>
  <c r="K49" i="10" s="1"/>
  <c r="G39" i="9"/>
  <c r="J61" i="10"/>
  <c r="K61" i="10" s="1"/>
  <c r="J78" i="10"/>
  <c r="K78" i="10" s="1"/>
  <c r="G47" i="9"/>
  <c r="J124" i="10"/>
  <c r="K124" i="10" s="1"/>
  <c r="G84" i="9"/>
  <c r="J136" i="10"/>
  <c r="K136" i="10" s="1"/>
  <c r="G96" i="9"/>
  <c r="J157" i="10"/>
  <c r="G113" i="9"/>
  <c r="J163" i="10"/>
  <c r="G117" i="9"/>
  <c r="J167" i="10"/>
  <c r="G121" i="9"/>
  <c r="J171" i="10"/>
  <c r="G125" i="9"/>
  <c r="J179" i="10"/>
  <c r="K179" i="10" s="1"/>
  <c r="G129" i="9"/>
  <c r="J190" i="10"/>
  <c r="K190" i="10" s="1"/>
  <c r="G133" i="9"/>
  <c r="G146" i="9"/>
  <c r="J216" i="10"/>
  <c r="K41" i="10"/>
  <c r="J88" i="10"/>
  <c r="K88" i="10" s="1"/>
  <c r="G53" i="9"/>
  <c r="J16" i="10"/>
  <c r="K16" i="10" s="1"/>
  <c r="G5" i="9"/>
  <c r="J89" i="10"/>
  <c r="K89" i="10" s="1"/>
  <c r="G54" i="9"/>
  <c r="J94" i="10"/>
  <c r="G58" i="9"/>
  <c r="J99" i="10"/>
  <c r="K99" i="10" s="1"/>
  <c r="G62" i="9"/>
  <c r="J103" i="10"/>
  <c r="K103" i="10" s="1"/>
  <c r="G66" i="9"/>
  <c r="J107" i="10"/>
  <c r="K107" i="10" s="1"/>
  <c r="G70" i="9"/>
  <c r="J111" i="10"/>
  <c r="K111" i="10" s="1"/>
  <c r="G74" i="9"/>
  <c r="J116" i="10"/>
  <c r="G78" i="9"/>
  <c r="J140" i="10"/>
  <c r="K140" i="10" s="1"/>
  <c r="G100" i="9"/>
  <c r="G110" i="9"/>
  <c r="J154" i="10"/>
  <c r="K154" i="10" s="1"/>
  <c r="J207" i="10"/>
  <c r="G140" i="9"/>
  <c r="J93" i="10"/>
  <c r="G57" i="9"/>
  <c r="J102" i="10"/>
  <c r="K102" i="10" s="1"/>
  <c r="G65" i="9"/>
  <c r="J110" i="10"/>
  <c r="K110" i="10" s="1"/>
  <c r="G73" i="9"/>
  <c r="J115" i="10"/>
  <c r="G77" i="9"/>
  <c r="J153" i="10"/>
  <c r="G109" i="9"/>
  <c r="K44" i="10"/>
  <c r="J23" i="10"/>
  <c r="K23" i="10" s="1"/>
  <c r="G9" i="9"/>
  <c r="J27" i="10"/>
  <c r="K27" i="10" s="1"/>
  <c r="G13" i="9"/>
  <c r="J32" i="10"/>
  <c r="G17" i="9"/>
  <c r="G21" i="9"/>
  <c r="J36" i="10"/>
  <c r="J46" i="10"/>
  <c r="K46" i="10" s="1"/>
  <c r="G29" i="9"/>
  <c r="J59" i="10"/>
  <c r="G37" i="9"/>
  <c r="G45" i="9"/>
  <c r="J72" i="10"/>
  <c r="K72" i="10" s="1"/>
  <c r="J137" i="10"/>
  <c r="G97" i="9"/>
  <c r="J158" i="10"/>
  <c r="K158" i="10" s="1"/>
  <c r="G114" i="9"/>
  <c r="J164" i="10"/>
  <c r="G118" i="9"/>
  <c r="J168" i="10"/>
  <c r="G122" i="9"/>
  <c r="J173" i="10"/>
  <c r="K173" i="10" s="1"/>
  <c r="G126" i="9"/>
  <c r="G130" i="9"/>
  <c r="J180" i="10"/>
  <c r="P10" i="10" s="1"/>
  <c r="Q10" i="10" s="1"/>
  <c r="G134" i="9"/>
  <c r="J194" i="10"/>
  <c r="J217" i="10"/>
  <c r="K217" i="10" s="1"/>
  <c r="G147" i="9"/>
  <c r="G150" i="9"/>
  <c r="J222" i="10"/>
  <c r="K222" i="10" s="1"/>
  <c r="K32" i="10"/>
  <c r="K34" i="10"/>
  <c r="J83" i="10"/>
  <c r="G51" i="9"/>
  <c r="J91" i="10"/>
  <c r="K91" i="10" s="1"/>
  <c r="G55" i="9"/>
  <c r="J95" i="10"/>
  <c r="K95" i="10" s="1"/>
  <c r="G59" i="9"/>
  <c r="J100" i="10"/>
  <c r="P8" i="10" s="1"/>
  <c r="G63" i="9"/>
  <c r="J104" i="10"/>
  <c r="G67" i="9"/>
  <c r="J108" i="10"/>
  <c r="K108" i="10" s="1"/>
  <c r="G71" i="9"/>
  <c r="J112" i="10"/>
  <c r="G75" i="9"/>
  <c r="J119" i="10"/>
  <c r="K119" i="10" s="1"/>
  <c r="G79" i="9"/>
  <c r="J131" i="10"/>
  <c r="K131" i="10" s="1"/>
  <c r="G91" i="9"/>
  <c r="J141" i="10"/>
  <c r="G101" i="9"/>
  <c r="P11" i="10"/>
  <c r="Q11" i="10" s="1"/>
  <c r="J212" i="10"/>
  <c r="G144" i="9"/>
  <c r="K36" i="10"/>
  <c r="J17" i="10"/>
  <c r="K17" i="10" s="1"/>
  <c r="G6" i="9"/>
  <c r="G10" i="9"/>
  <c r="J24" i="10"/>
  <c r="G14" i="9"/>
  <c r="J28" i="10"/>
  <c r="J33" i="10"/>
  <c r="K33" i="10" s="1"/>
  <c r="G18" i="9"/>
  <c r="J44" i="10"/>
  <c r="G27" i="9"/>
  <c r="J56" i="10"/>
  <c r="K56" i="10" s="1"/>
  <c r="G35" i="9"/>
  <c r="J69" i="10"/>
  <c r="K69" i="10" s="1"/>
  <c r="G43" i="9"/>
  <c r="J138" i="10"/>
  <c r="K138" i="10" s="1"/>
  <c r="G98" i="9"/>
  <c r="J161" i="10"/>
  <c r="K161" i="10" s="1"/>
  <c r="G115" i="9"/>
  <c r="J165" i="10"/>
  <c r="K165" i="10" s="1"/>
  <c r="G119" i="9"/>
  <c r="J169" i="10"/>
  <c r="K169" i="10" s="1"/>
  <c r="G123" i="9"/>
  <c r="J174" i="10"/>
  <c r="K174" i="10" s="1"/>
  <c r="G127" i="9"/>
  <c r="J182" i="10"/>
  <c r="G131" i="9"/>
  <c r="J195" i="10"/>
  <c r="K195" i="10" s="1"/>
  <c r="G135" i="9"/>
  <c r="G138" i="9"/>
  <c r="J204" i="10"/>
  <c r="K204" i="10" s="1"/>
  <c r="K42" i="10"/>
  <c r="K45" i="10"/>
  <c r="O6" i="10"/>
  <c r="K60" i="10"/>
  <c r="K63" i="10"/>
  <c r="K87" i="10"/>
  <c r="O7" i="10"/>
  <c r="K116" i="10"/>
  <c r="K141" i="10"/>
  <c r="K153" i="10"/>
  <c r="G137" i="9"/>
  <c r="G139" i="9"/>
  <c r="G141" i="9"/>
  <c r="G143" i="9"/>
  <c r="G145" i="9"/>
  <c r="G55" i="10"/>
  <c r="G198" i="10"/>
  <c r="G202" i="10"/>
  <c r="K206" i="10"/>
  <c r="K210" i="10"/>
  <c r="G24" i="10"/>
  <c r="K54" i="10"/>
  <c r="K57" i="10"/>
  <c r="O8" i="10"/>
  <c r="K109" i="10"/>
  <c r="K125" i="10"/>
  <c r="K164" i="10"/>
  <c r="K171" i="10"/>
  <c r="K182" i="10"/>
  <c r="G148" i="9"/>
  <c r="J218" i="10"/>
  <c r="K59" i="10"/>
  <c r="K93" i="10"/>
  <c r="K104" i="10"/>
  <c r="K113" i="10"/>
  <c r="K168" i="10"/>
  <c r="K212" i="10"/>
  <c r="K216" i="10"/>
  <c r="K221" i="10"/>
  <c r="G67" i="10"/>
  <c r="K79" i="10"/>
  <c r="K115" i="10"/>
  <c r="K142" i="10"/>
  <c r="K145" i="10"/>
  <c r="K157" i="10"/>
  <c r="K194" i="10"/>
  <c r="K203" i="10"/>
  <c r="G214" i="10"/>
  <c r="G105" i="9"/>
  <c r="G19" i="10"/>
  <c r="O5" i="10"/>
  <c r="G29" i="10"/>
  <c r="G36" i="10"/>
  <c r="G88" i="10"/>
  <c r="G117" i="10"/>
  <c r="K137" i="10"/>
  <c r="G152" i="10"/>
  <c r="G159" i="10"/>
  <c r="K207" i="10"/>
  <c r="K209" i="10"/>
  <c r="P12" i="10"/>
  <c r="Q12" i="10" s="1"/>
  <c r="K15" i="10"/>
  <c r="O4" i="10"/>
  <c r="K28" i="10"/>
  <c r="K66" i="10"/>
  <c r="K121" i="10"/>
  <c r="O9" i="10"/>
  <c r="K126" i="10"/>
  <c r="K129" i="10"/>
  <c r="G139" i="10"/>
  <c r="G147" i="10"/>
  <c r="K163" i="10"/>
  <c r="K218" i="10"/>
  <c r="G149" i="9"/>
  <c r="K24" i="10"/>
  <c r="G43" i="10"/>
  <c r="G46" i="10"/>
  <c r="G49" i="10"/>
  <c r="K76" i="10"/>
  <c r="K94" i="10"/>
  <c r="K105" i="10"/>
  <c r="G110" i="10"/>
  <c r="K112" i="10"/>
  <c r="G165" i="10"/>
  <c r="K167" i="10"/>
  <c r="K215" i="10"/>
  <c r="K83" i="10" l="1"/>
  <c r="P7" i="10"/>
  <c r="Q7" i="10" s="1"/>
  <c r="K120" i="10"/>
  <c r="P9" i="10"/>
  <c r="Q9" i="10" s="1"/>
  <c r="K14" i="10"/>
  <c r="B9" i="10" s="1"/>
  <c r="B8" i="10"/>
  <c r="P4" i="10"/>
  <c r="P5" i="10"/>
  <c r="Q5" i="10" s="1"/>
  <c r="K21" i="10"/>
  <c r="Q8" i="10"/>
  <c r="K100" i="10"/>
  <c r="K180" i="10"/>
  <c r="Q4" i="10"/>
  <c r="P6" i="10"/>
  <c r="Q6" i="10" s="1"/>
</calcChain>
</file>

<file path=xl/sharedStrings.xml><?xml version="1.0" encoding="utf-8"?>
<sst xmlns="http://schemas.openxmlformats.org/spreadsheetml/2006/main" count="5593" uniqueCount="1302">
  <si>
    <t>Hawthorn Gardens — BuildLite UAT Master Pack</t>
  </si>
  <si>
    <t>Purpose</t>
  </si>
  <si>
    <t>Controlled fictional known-answer development for BuildLite commercial/CVR testing.</t>
  </si>
  <si>
    <t>Version</t>
  </si>
  <si>
    <t>v1 commercial design baseline — not yet imported into BuildLite.</t>
  </si>
  <si>
    <t>Development</t>
  </si>
  <si>
    <t>Hawthorn Gardens — 24 private homes.</t>
  </si>
  <si>
    <t>Cost-code basis</t>
  </si>
  <si>
    <t>BuildLite shipped 210-code master from server/data/cost_codes.json.</t>
  </si>
  <si>
    <t>Principle</t>
  </si>
  <si>
    <t>BuildLite should reproduce the Expected CVR; this workbook is the independent control answer.</t>
  </si>
  <si>
    <t>Deliberate tests</t>
  </si>
  <si>
    <t>Approved/pending CEs, credits, linked/direct recovery, material overspend, unbudgeted posting, forecast savings/overspends, actuals vs certificates.</t>
  </si>
  <si>
    <t>Blue font</t>
  </si>
  <si>
    <t>Hardcoded fictional UAT input.</t>
  </si>
  <si>
    <t>Green font</t>
  </si>
  <si>
    <t>Cross-sheet formula/link.</t>
  </si>
  <si>
    <t>Black font</t>
  </si>
  <si>
    <t>Calculation/formula.</t>
  </si>
  <si>
    <t>Important</t>
  </si>
  <si>
    <t>Fictional data for software testing only; not a market appraisal or investment case.</t>
  </si>
  <si>
    <t>Development Setup</t>
  </si>
  <si>
    <t>Field</t>
  </si>
  <si>
    <t>Value</t>
  </si>
  <si>
    <t>Hawthorn Gardens</t>
  </si>
  <si>
    <t>Developer</t>
  </si>
  <si>
    <t>BuildLite Homes Ltd</t>
  </si>
  <si>
    <t>Location</t>
  </si>
  <si>
    <t>Midlands (fictional)</t>
  </si>
  <si>
    <t>Units</t>
  </si>
  <si>
    <t>Private Units</t>
  </si>
  <si>
    <t>Affordable Units</t>
  </si>
  <si>
    <t>Start Date</t>
  </si>
  <si>
    <t>Target Completion</t>
  </si>
  <si>
    <t>CVR Date</t>
  </si>
  <si>
    <t>GDV</t>
  </si>
  <si>
    <t>Permanent known-answer UAT development for BuildLite commercial/CVR testing</t>
  </si>
  <si>
    <t>House Type</t>
  </si>
  <si>
    <t>Beds</t>
  </si>
  <si>
    <t>Approx ft²</t>
  </si>
  <si>
    <t>Plots</t>
  </si>
  <si>
    <t>No. Units</t>
  </si>
  <si>
    <t>The Ash</t>
  </si>
  <si>
    <t>2 bed</t>
  </si>
  <si>
    <t>1-4</t>
  </si>
  <si>
    <t>The Birch</t>
  </si>
  <si>
    <t>3 bed</t>
  </si>
  <si>
    <t>5-12</t>
  </si>
  <si>
    <t>The Cedar</t>
  </si>
  <si>
    <t>13-18</t>
  </si>
  <si>
    <t>The Oak</t>
  </si>
  <si>
    <t>4 bed</t>
  </si>
  <si>
    <t>19-24</t>
  </si>
  <si>
    <t>BuildLite Cost Code Master — 210 Codes</t>
  </si>
  <si>
    <t>Cost Code</t>
  </si>
  <si>
    <t>Sub-Heading</t>
  </si>
  <si>
    <t>Trade</t>
  </si>
  <si>
    <t>Element</t>
  </si>
  <si>
    <t>Used in Hawthorn?</t>
  </si>
  <si>
    <t>Original Budget (£)</t>
  </si>
  <si>
    <t>Source</t>
  </si>
  <si>
    <t>1100</t>
  </si>
  <si>
    <t>Land</t>
  </si>
  <si>
    <t>Vendor</t>
  </si>
  <si>
    <t>Land Cost</t>
  </si>
  <si>
    <t>Yes</t>
  </si>
  <si>
    <t>BuildLite repo master / fictional UAT assumption</t>
  </si>
  <si>
    <t>1110</t>
  </si>
  <si>
    <t>GOV</t>
  </si>
  <si>
    <t>VAT on Land Purchase</t>
  </si>
  <si>
    <t>No</t>
  </si>
  <si>
    <t>1120</t>
  </si>
  <si>
    <t>Stamp Duty - Incl VAT if applicable</t>
  </si>
  <si>
    <t>1130</t>
  </si>
  <si>
    <t>Consultant</t>
  </si>
  <si>
    <t>Legal Fees - Solicitor</t>
  </si>
  <si>
    <t>1140</t>
  </si>
  <si>
    <t>Option Fees</t>
  </si>
  <si>
    <t>1150</t>
  </si>
  <si>
    <t>Selling Agent Fees -</t>
  </si>
  <si>
    <t>1160</t>
  </si>
  <si>
    <t>Sundy Land Costs - Overage Payments</t>
  </si>
  <si>
    <t>1170</t>
  </si>
  <si>
    <t>Fees</t>
  </si>
  <si>
    <t>Planning Application &amp; Supporting Fees</t>
  </si>
  <si>
    <t>1180</t>
  </si>
  <si>
    <t>Site Investigation</t>
  </si>
  <si>
    <t>1190</t>
  </si>
  <si>
    <t>Archaeology</t>
  </si>
  <si>
    <t>1200</t>
  </si>
  <si>
    <t>Contamination</t>
  </si>
  <si>
    <t>1210</t>
  </si>
  <si>
    <t>Design Fees</t>
  </si>
  <si>
    <t>1220</t>
  </si>
  <si>
    <t>Architects - Post Planning</t>
  </si>
  <si>
    <t>1230</t>
  </si>
  <si>
    <t>Engineers</t>
  </si>
  <si>
    <t>1240</t>
  </si>
  <si>
    <t>Surveys</t>
  </si>
  <si>
    <t>1250</t>
  </si>
  <si>
    <t>NHBC Bond Fees</t>
  </si>
  <si>
    <t>1260</t>
  </si>
  <si>
    <t>Insurance</t>
  </si>
  <si>
    <t>1270</t>
  </si>
  <si>
    <t>Planning Consultants</t>
  </si>
  <si>
    <t>1280</t>
  </si>
  <si>
    <t>Highways Consultants</t>
  </si>
  <si>
    <t>1290</t>
  </si>
  <si>
    <t>Environmental Consultants</t>
  </si>
  <si>
    <t>1300</t>
  </si>
  <si>
    <t>M&amp;E Consultants</t>
  </si>
  <si>
    <t>1310</t>
  </si>
  <si>
    <t>LA</t>
  </si>
  <si>
    <t>Sewers Adoption (s104):</t>
  </si>
  <si>
    <t>1320</t>
  </si>
  <si>
    <t>Highways Adoption (s18/38):</t>
  </si>
  <si>
    <t>1330</t>
  </si>
  <si>
    <t>S278 Fees</t>
  </si>
  <si>
    <t>1340</t>
  </si>
  <si>
    <t>Building Regulation Fees</t>
  </si>
  <si>
    <t>1350</t>
  </si>
  <si>
    <t>Planning Fees</t>
  </si>
  <si>
    <t>1360</t>
  </si>
  <si>
    <t>SAP Calculations</t>
  </si>
  <si>
    <t>1370</t>
  </si>
  <si>
    <t>Air Tests</t>
  </si>
  <si>
    <t>1380</t>
  </si>
  <si>
    <t>NHBC - Warranty &amp; Build control</t>
  </si>
  <si>
    <t>1400</t>
  </si>
  <si>
    <t>Lender</t>
  </si>
  <si>
    <t>Finance lenders Fees</t>
  </si>
  <si>
    <t>1410</t>
  </si>
  <si>
    <t>Other Fees</t>
  </si>
  <si>
    <t>2100</t>
  </si>
  <si>
    <t>Prelims</t>
  </si>
  <si>
    <t>Direct</t>
  </si>
  <si>
    <t>Site Manager</t>
  </si>
  <si>
    <t>2101</t>
  </si>
  <si>
    <t>Assistant Site Manager</t>
  </si>
  <si>
    <t>2110</t>
  </si>
  <si>
    <t>Direct Staff Bonuses</t>
  </si>
  <si>
    <t>2120</t>
  </si>
  <si>
    <t>Direct Staff NIC on Bonuses</t>
  </si>
  <si>
    <t>2130</t>
  </si>
  <si>
    <t>NIC on Salary</t>
  </si>
  <si>
    <t>2140</t>
  </si>
  <si>
    <t>Pension</t>
  </si>
  <si>
    <t>2150</t>
  </si>
  <si>
    <t>Forklift Driver - Direct</t>
  </si>
  <si>
    <t>2151</t>
  </si>
  <si>
    <t>Agency</t>
  </si>
  <si>
    <t>Forklift Driver - Agency</t>
  </si>
  <si>
    <t>2160</t>
  </si>
  <si>
    <t>Labourer - Direct</t>
  </si>
  <si>
    <t>2161</t>
  </si>
  <si>
    <t>Labourer - Agency</t>
  </si>
  <si>
    <t>2170</t>
  </si>
  <si>
    <t>Site staff - Holiday Cover</t>
  </si>
  <si>
    <t>2180</t>
  </si>
  <si>
    <t>Sub-Con</t>
  </si>
  <si>
    <t>Principle Contractor Set-Up</t>
  </si>
  <si>
    <t>2190</t>
  </si>
  <si>
    <t>Plant Hire</t>
  </si>
  <si>
    <t>Forklift Truck</t>
  </si>
  <si>
    <t>2191</t>
  </si>
  <si>
    <t>Generator</t>
  </si>
  <si>
    <t>2200</t>
  </si>
  <si>
    <t>Site Office</t>
  </si>
  <si>
    <t>2201</t>
  </si>
  <si>
    <t>Site Cabins</t>
  </si>
  <si>
    <t>2202</t>
  </si>
  <si>
    <t>Containers</t>
  </si>
  <si>
    <t>2210</t>
  </si>
  <si>
    <t>Oasis Unit</t>
  </si>
  <si>
    <t>2211</t>
  </si>
  <si>
    <t>Material</t>
  </si>
  <si>
    <t>Fuel</t>
  </si>
  <si>
    <t>2220</t>
  </si>
  <si>
    <t>Compound  - Groundworks</t>
  </si>
  <si>
    <t>2230</t>
  </si>
  <si>
    <t>Utility</t>
  </si>
  <si>
    <t>Site Electric Usage</t>
  </si>
  <si>
    <t>2231</t>
  </si>
  <si>
    <t>Site Water Usage</t>
  </si>
  <si>
    <t>2232</t>
  </si>
  <si>
    <t>TBS</t>
  </si>
  <si>
    <t>2240</t>
  </si>
  <si>
    <t>Plot Utility Bills Pre-Handover</t>
  </si>
  <si>
    <t>2250</t>
  </si>
  <si>
    <t>Road Cleaning - F Lift Road brush</t>
  </si>
  <si>
    <t>2260</t>
  </si>
  <si>
    <t>Road Cleaning - Road sweep</t>
  </si>
  <si>
    <t>2270</t>
  </si>
  <si>
    <t>Tipping Skips</t>
  </si>
  <si>
    <t>2280</t>
  </si>
  <si>
    <t>Skips</t>
  </si>
  <si>
    <t>2290</t>
  </si>
  <si>
    <t>Pallets</t>
  </si>
  <si>
    <t>2300</t>
  </si>
  <si>
    <t>Bulk Items</t>
  </si>
  <si>
    <t>2310</t>
  </si>
  <si>
    <t>PPE</t>
  </si>
  <si>
    <t>2311</t>
  </si>
  <si>
    <t>Site consumables</t>
  </si>
  <si>
    <t>2320</t>
  </si>
  <si>
    <t>Pedestrian Barriers</t>
  </si>
  <si>
    <t>2321</t>
  </si>
  <si>
    <t>Heras Fencing</t>
  </si>
  <si>
    <t>2330</t>
  </si>
  <si>
    <t>Security - Cameras</t>
  </si>
  <si>
    <t>2340</t>
  </si>
  <si>
    <t>Security - Static guards</t>
  </si>
  <si>
    <t>2350</t>
  </si>
  <si>
    <t>Misc.</t>
  </si>
  <si>
    <t>Contingency</t>
  </si>
  <si>
    <t>3100</t>
  </si>
  <si>
    <t>R&amp;S</t>
  </si>
  <si>
    <t>Groundworker Prelims</t>
  </si>
  <si>
    <t>3110</t>
  </si>
  <si>
    <t>Duct Crossings</t>
  </si>
  <si>
    <t>3120</t>
  </si>
  <si>
    <t>Footpaths to Base</t>
  </si>
  <si>
    <t>3130</t>
  </si>
  <si>
    <t>Saw cut &amp; break out road for kerb install to channel / laybys</t>
  </si>
  <si>
    <t>3140</t>
  </si>
  <si>
    <t>White Lining</t>
  </si>
  <si>
    <t>3150</t>
  </si>
  <si>
    <t>Street Name Plates - Install</t>
  </si>
  <si>
    <t>3160</t>
  </si>
  <si>
    <t>R&amp;S - REMEDIALS:</t>
  </si>
  <si>
    <t>3170</t>
  </si>
  <si>
    <t>Electricity Mains - Mains &amp; Connections</t>
  </si>
  <si>
    <t>3180</t>
  </si>
  <si>
    <t>Gas Mains</t>
  </si>
  <si>
    <t>3190</t>
  </si>
  <si>
    <t>Water Mains - Laying &amp; Connection</t>
  </si>
  <si>
    <t>3200</t>
  </si>
  <si>
    <t>Telephone Mains</t>
  </si>
  <si>
    <t>3210</t>
  </si>
  <si>
    <t>Fibre</t>
  </si>
  <si>
    <t>3220</t>
  </si>
  <si>
    <t>Street Lights - Supply &amp; Install Columns</t>
  </si>
  <si>
    <t>3230</t>
  </si>
  <si>
    <t>Street Lighting Connections</t>
  </si>
  <si>
    <t>3240</t>
  </si>
  <si>
    <t>Public Open Space &amp; Play Areas</t>
  </si>
  <si>
    <t>3250</t>
  </si>
  <si>
    <t>Play Equipment</t>
  </si>
  <si>
    <t>3260</t>
  </si>
  <si>
    <t>Hard Landscaping</t>
  </si>
  <si>
    <t>3270</t>
  </si>
  <si>
    <t>Roads &amp; Sewers Contingency</t>
  </si>
  <si>
    <t>3500</t>
  </si>
  <si>
    <t>Plot</t>
  </si>
  <si>
    <t>Sub-con</t>
  </si>
  <si>
    <t>Service Trenches &amp; Ducts</t>
  </si>
  <si>
    <t>3510</t>
  </si>
  <si>
    <t>Muck Away</t>
  </si>
  <si>
    <t>3520</t>
  </si>
  <si>
    <t>Plot Drainage incl Internal Drainage</t>
  </si>
  <si>
    <t>3530</t>
  </si>
  <si>
    <t>Paths - Slabs</t>
  </si>
  <si>
    <t>3540</t>
  </si>
  <si>
    <t>Private Drive Formation</t>
  </si>
  <si>
    <t>3541</t>
  </si>
  <si>
    <t>Private Drives Complete</t>
  </si>
  <si>
    <t>3550</t>
  </si>
  <si>
    <t>Shared Drive Formation</t>
  </si>
  <si>
    <t>3551</t>
  </si>
  <si>
    <t>Shared Drive Complete</t>
  </si>
  <si>
    <t>3570</t>
  </si>
  <si>
    <t>Screen Walls - Foundations</t>
  </si>
  <si>
    <t>3580</t>
  </si>
  <si>
    <t>Screen Walls - Superstructure</t>
  </si>
  <si>
    <t>3590</t>
  </si>
  <si>
    <t>Fencing</t>
  </si>
  <si>
    <t>3600</t>
  </si>
  <si>
    <t>Plot Clearance</t>
  </si>
  <si>
    <t>3610</t>
  </si>
  <si>
    <t>Plot Regrade</t>
  </si>
  <si>
    <t>3620</t>
  </si>
  <si>
    <t>Topsoil placement</t>
  </si>
  <si>
    <t>3630</t>
  </si>
  <si>
    <t>Turfing - Adoptable Verges to Roads</t>
  </si>
  <si>
    <t>3640</t>
  </si>
  <si>
    <t>Planting</t>
  </si>
  <si>
    <t>3650</t>
  </si>
  <si>
    <t>Misc. Landscaping</t>
  </si>
  <si>
    <t>3660</t>
  </si>
  <si>
    <t>Pre-Occupation Maintenance</t>
  </si>
  <si>
    <t>3670</t>
  </si>
  <si>
    <t>After Sales Maintenance</t>
  </si>
  <si>
    <t>3680</t>
  </si>
  <si>
    <t>Contingency - Plot Groundworks</t>
  </si>
  <si>
    <t>4100</t>
  </si>
  <si>
    <t>Super-Structure</t>
  </si>
  <si>
    <t>Pre-Cast Concrete</t>
  </si>
  <si>
    <t>4110</t>
  </si>
  <si>
    <t>Scaffolding</t>
  </si>
  <si>
    <t>4120</t>
  </si>
  <si>
    <t>Brickwork</t>
  </si>
  <si>
    <t>4130</t>
  </si>
  <si>
    <t>Carpentry</t>
  </si>
  <si>
    <t>4140</t>
  </si>
  <si>
    <t>Contract Crane Hire</t>
  </si>
  <si>
    <t>4150</t>
  </si>
  <si>
    <t>Cladding</t>
  </si>
  <si>
    <t>4160</t>
  </si>
  <si>
    <t>Render</t>
  </si>
  <si>
    <t>4170</t>
  </si>
  <si>
    <t>Steelwork</t>
  </si>
  <si>
    <t>4180</t>
  </si>
  <si>
    <t>Roofing</t>
  </si>
  <si>
    <t>4190</t>
  </si>
  <si>
    <t>PV</t>
  </si>
  <si>
    <t>4200</t>
  </si>
  <si>
    <t>Windows and Ext. Doors</t>
  </si>
  <si>
    <t>4210</t>
  </si>
  <si>
    <t>Garage Doors</t>
  </si>
  <si>
    <t>4220</t>
  </si>
  <si>
    <t>Insulation</t>
  </si>
  <si>
    <t>4230</t>
  </si>
  <si>
    <t>Plastering &amp; Drylining</t>
  </si>
  <si>
    <t>4240</t>
  </si>
  <si>
    <t>Plumbing &amp; Heating</t>
  </si>
  <si>
    <t>4250</t>
  </si>
  <si>
    <t>Electrical</t>
  </si>
  <si>
    <t>4260</t>
  </si>
  <si>
    <t>Kitchen Fitting</t>
  </si>
  <si>
    <t>4270</t>
  </si>
  <si>
    <t>Appliances</t>
  </si>
  <si>
    <t>4280</t>
  </si>
  <si>
    <t>Stone Worktops</t>
  </si>
  <si>
    <t>4290</t>
  </si>
  <si>
    <t>Wardrobes</t>
  </si>
  <si>
    <t>4300</t>
  </si>
  <si>
    <t>Carpets</t>
  </si>
  <si>
    <t>4310</t>
  </si>
  <si>
    <t>LVT</t>
  </si>
  <si>
    <t>4320</t>
  </si>
  <si>
    <t>Vinyl</t>
  </si>
  <si>
    <t>4330</t>
  </si>
  <si>
    <t>Mastic &amp; Sealing</t>
  </si>
  <si>
    <t>4340</t>
  </si>
  <si>
    <t>Painting &amp; Decoration</t>
  </si>
  <si>
    <t>4350</t>
  </si>
  <si>
    <t>Ceramic Tiling</t>
  </si>
  <si>
    <t>4360</t>
  </si>
  <si>
    <t>Cleaning</t>
  </si>
  <si>
    <t>4500</t>
  </si>
  <si>
    <t>Bricks</t>
  </si>
  <si>
    <t>4510</t>
  </si>
  <si>
    <t>Brickwork Specials</t>
  </si>
  <si>
    <t>4520</t>
  </si>
  <si>
    <t>External Cladding</t>
  </si>
  <si>
    <t>4530</t>
  </si>
  <si>
    <t>Batten</t>
  </si>
  <si>
    <t>4540</t>
  </si>
  <si>
    <t>Membrane</t>
  </si>
  <si>
    <t>4550</t>
  </si>
  <si>
    <t>Tenmat fire barrier</t>
  </si>
  <si>
    <t>4560</t>
  </si>
  <si>
    <t>Blocks - Aggrtegate</t>
  </si>
  <si>
    <t>4570</t>
  </si>
  <si>
    <t>Blocks - Airated</t>
  </si>
  <si>
    <t>4580</t>
  </si>
  <si>
    <t>Sand Cement &amp; Mortar</t>
  </si>
  <si>
    <t>4590</t>
  </si>
  <si>
    <t>Cast Stone Heads</t>
  </si>
  <si>
    <t>4600</t>
  </si>
  <si>
    <t>Cast Stone Cills</t>
  </si>
  <si>
    <t>4610</t>
  </si>
  <si>
    <t>Lintels</t>
  </si>
  <si>
    <t>4620</t>
  </si>
  <si>
    <t>Steel</t>
  </si>
  <si>
    <t>4630</t>
  </si>
  <si>
    <t>Chimneys</t>
  </si>
  <si>
    <t>4640</t>
  </si>
  <si>
    <t>Joists</t>
  </si>
  <si>
    <t>4650</t>
  </si>
  <si>
    <t>Floor deck</t>
  </si>
  <si>
    <t>4660</t>
  </si>
  <si>
    <t>Roof Timbers</t>
  </si>
  <si>
    <t>4670</t>
  </si>
  <si>
    <t>Soffit &amp; Fascia</t>
  </si>
  <si>
    <t>4680</t>
  </si>
  <si>
    <t>Staircases</t>
  </si>
  <si>
    <t>4690</t>
  </si>
  <si>
    <t>Carcassing Timbers</t>
  </si>
  <si>
    <t>4700</t>
  </si>
  <si>
    <t>Window Board</t>
  </si>
  <si>
    <t>4710</t>
  </si>
  <si>
    <t>Door Linings</t>
  </si>
  <si>
    <t>4720</t>
  </si>
  <si>
    <t>Skirting &amp; Architrave</t>
  </si>
  <si>
    <t>4730</t>
  </si>
  <si>
    <t>Internal Doors</t>
  </si>
  <si>
    <t>4740</t>
  </si>
  <si>
    <t>Ironmongery</t>
  </si>
  <si>
    <t>4750</t>
  </si>
  <si>
    <t>Porches</t>
  </si>
  <si>
    <t>4760</t>
  </si>
  <si>
    <t>Insulation Materials</t>
  </si>
  <si>
    <t>4770</t>
  </si>
  <si>
    <t>Fixings</t>
  </si>
  <si>
    <t>4780</t>
  </si>
  <si>
    <t>Loft Traps</t>
  </si>
  <si>
    <t>4790</t>
  </si>
  <si>
    <t>Meter Boxes</t>
  </si>
  <si>
    <t>4800</t>
  </si>
  <si>
    <t>Rooflight</t>
  </si>
  <si>
    <t>4810</t>
  </si>
  <si>
    <t>GRP Products</t>
  </si>
  <si>
    <t>4820</t>
  </si>
  <si>
    <t>General Material Sundries</t>
  </si>
  <si>
    <t>5100</t>
  </si>
  <si>
    <t>Abnormals</t>
  </si>
  <si>
    <t>Demolition / Site Clearance / Remediation:</t>
  </si>
  <si>
    <t>5110</t>
  </si>
  <si>
    <t>Archaeology:</t>
  </si>
  <si>
    <t>5120</t>
  </si>
  <si>
    <t>Ecology:</t>
  </si>
  <si>
    <t>5130</t>
  </si>
  <si>
    <t>Piling - Specialist:</t>
  </si>
  <si>
    <t>5140</t>
  </si>
  <si>
    <t>Piling - Groundworks:</t>
  </si>
  <si>
    <t>5150</t>
  </si>
  <si>
    <t>Abnormal Foundations:</t>
  </si>
  <si>
    <t>5160</t>
  </si>
  <si>
    <t>Raft Foundation:</t>
  </si>
  <si>
    <t>5170</t>
  </si>
  <si>
    <t>Attenuation Pond / Swales / Culverts:</t>
  </si>
  <si>
    <t>5180</t>
  </si>
  <si>
    <t>Electric Sub-Station:</t>
  </si>
  <si>
    <t>5190</t>
  </si>
  <si>
    <t>Pump Station &amp; Rising Main:</t>
  </si>
  <si>
    <t>5200</t>
  </si>
  <si>
    <t>Retaining Features &amp; Steps:</t>
  </si>
  <si>
    <t>5210</t>
  </si>
  <si>
    <t>Abnormal / Non-Plot Fencing &amp; Walls:</t>
  </si>
  <si>
    <t>5220</t>
  </si>
  <si>
    <t>S278 Fees:</t>
  </si>
  <si>
    <t>5230</t>
  </si>
  <si>
    <t>S184 Fees:</t>
  </si>
  <si>
    <t>5240</t>
  </si>
  <si>
    <t>Earthworks - Arisings</t>
  </si>
  <si>
    <t>5250</t>
  </si>
  <si>
    <t>POS / Abnormal Landscaping:</t>
  </si>
  <si>
    <t>5260</t>
  </si>
  <si>
    <t>S278 Works:</t>
  </si>
  <si>
    <t>5270</t>
  </si>
  <si>
    <t>Offsite Utility Services Maintenance:</t>
  </si>
  <si>
    <t>5280</t>
  </si>
  <si>
    <t>Offsite Utility Service Diversions:</t>
  </si>
  <si>
    <t>5290</t>
  </si>
  <si>
    <t>Render:</t>
  </si>
  <si>
    <t>5300</t>
  </si>
  <si>
    <t>Black Weatherboarding:</t>
  </si>
  <si>
    <t>5310</t>
  </si>
  <si>
    <t>Vertical Tile Hanging:</t>
  </si>
  <si>
    <t>5320</t>
  </si>
  <si>
    <t>Stone Walling (Reconstituted / Prepped):</t>
  </si>
  <si>
    <t>5340</t>
  </si>
  <si>
    <t>Contributions</t>
  </si>
  <si>
    <t>S106</t>
  </si>
  <si>
    <t>5350</t>
  </si>
  <si>
    <t>CIL</t>
  </si>
  <si>
    <t>6100</t>
  </si>
  <si>
    <t>Sales</t>
  </si>
  <si>
    <t>Revenue</t>
  </si>
  <si>
    <t>6110</t>
  </si>
  <si>
    <t>Sales Legal Fees</t>
  </si>
  <si>
    <t>6120</t>
  </si>
  <si>
    <t>Estate Agents</t>
  </si>
  <si>
    <t>6130</t>
  </si>
  <si>
    <t>P/X Assisted Move</t>
  </si>
  <si>
    <t>6140</t>
  </si>
  <si>
    <t>Advertising</t>
  </si>
  <si>
    <t>6150</t>
  </si>
  <si>
    <t>Signs &amp; Flags</t>
  </si>
  <si>
    <t>6160</t>
  </si>
  <si>
    <t>Sub-contract</t>
  </si>
  <si>
    <t>Showhouse Furnishing - Showhome 1</t>
  </si>
  <si>
    <t>6170</t>
  </si>
  <si>
    <t>Sales Office Set-up</t>
  </si>
  <si>
    <t>6180</t>
  </si>
  <si>
    <t>Health and Safety Equipment - Sales</t>
  </si>
  <si>
    <t>6190</t>
  </si>
  <si>
    <t>Sales Business Rates - Showhome 1</t>
  </si>
  <si>
    <t>6200</t>
  </si>
  <si>
    <t>Sales Consumables</t>
  </si>
  <si>
    <t>6210</t>
  </si>
  <si>
    <t>Sales Running Costs - Sales Office Cleaning</t>
  </si>
  <si>
    <t>6220</t>
  </si>
  <si>
    <t>Sales Landscaping - Showhome</t>
  </si>
  <si>
    <t>6230</t>
  </si>
  <si>
    <t>Sales Landscape Maintenance</t>
  </si>
  <si>
    <t>6240</t>
  </si>
  <si>
    <t>Sales Parking Areas - Installation</t>
  </si>
  <si>
    <t>6250</t>
  </si>
  <si>
    <t>Sales Fencing - Railings</t>
  </si>
  <si>
    <t>6260</t>
  </si>
  <si>
    <t>Home Information Packs</t>
  </si>
  <si>
    <t>6270</t>
  </si>
  <si>
    <t>Welcome Packs</t>
  </si>
  <si>
    <t>6280</t>
  </si>
  <si>
    <t>Utility Bills Pre-Handover</t>
  </si>
  <si>
    <t>Original Development Budget</t>
  </si>
  <si>
    <t>£/Unit</t>
  </si>
  <si>
    <t>Active?</t>
  </si>
  <si>
    <t>Assumption / Test Purpose</t>
  </si>
  <si>
    <t>Fictional UAT budget assumption.</t>
  </si>
  <si>
    <t>Only £20k of £30k contingency expected to be used.</t>
  </si>
  <si>
    <t>Soft-ground approved CE plus unresolved muck-away risk.</t>
  </si>
  <si>
    <t>Productivity loss pushes final cost above budget/commitment.</t>
  </si>
  <si>
    <t>Control package: forecast at current PO, delivering £5k saving.</t>
  </si>
  <si>
    <t>Pending valley detail expected in full.</t>
  </si>
  <si>
    <t>Approved credit expected to flow through to final cost.</t>
  </si>
  <si>
    <t>Current order forecast; £4k linked recovery is payment-only.</t>
  </si>
  <si>
    <t>Approved omission/credit expected to crystallise as saving.</t>
  </si>
  <si>
    <t>Includes £12k customer extras + £4k payable repair origin.</t>
  </si>
  <si>
    <t>Deliberate future mispost test.</t>
  </si>
  <si>
    <t>QS forecasts £7k above PO despite normal ledger/cert progress.</t>
  </si>
  <si>
    <t>Order expected at £28k; direct recovery affects payment only.</t>
  </si>
  <si>
    <t>Brick material price/quantity overspend.</t>
  </si>
  <si>
    <t>Mortar usage running above budget.</t>
  </si>
  <si>
    <t>Approved £6.5k CE plus minor traffic-management allowance.</t>
  </si>
  <si>
    <t>TOTAL ORIGINAL BUDGET</t>
  </si>
  <si>
    <t>Package / Purchase Order Plan</t>
  </si>
  <si>
    <t>PO Number</t>
  </si>
  <si>
    <t>Trade / Element</t>
  </si>
  <si>
    <t>Supplier</t>
  </si>
  <si>
    <t>Order Type</t>
  </si>
  <si>
    <t>Original PO (£)</t>
  </si>
  <si>
    <t>Status</t>
  </si>
  <si>
    <t>Budget (£)</t>
  </si>
  <si>
    <t>Headroom/(Overbuy) (£)</t>
  </si>
  <si>
    <t>S-HG001</t>
  </si>
  <si>
    <t>Sub-Con — Groundworker Prelims</t>
  </si>
  <si>
    <t>J&amp;M Civils Ltd</t>
  </si>
  <si>
    <t>S</t>
  </si>
  <si>
    <t>Approved</t>
  </si>
  <si>
    <t>Infrastructure</t>
  </si>
  <si>
    <t>S-HG002</t>
  </si>
  <si>
    <t>Sub-con — Service Trenches &amp; Ducts</t>
  </si>
  <si>
    <t>Plot services</t>
  </si>
  <si>
    <t>S-HG003</t>
  </si>
  <si>
    <t>Sub-con — Plot Drainage incl Internal Drainage</t>
  </si>
  <si>
    <t>Plot drainage</t>
  </si>
  <si>
    <t>S-HG004</t>
  </si>
  <si>
    <t>Sub-Con — Scaffolding</t>
  </si>
  <si>
    <t>HighReach Scaffolding Ltd</t>
  </si>
  <si>
    <t>S-HG005</t>
  </si>
  <si>
    <t>Sub-Con — Brickwork</t>
  </si>
  <si>
    <t>Midlands Brickwork Ltd</t>
  </si>
  <si>
    <t>Brickwork labour</t>
  </si>
  <si>
    <t>S-HG006</t>
  </si>
  <si>
    <t>Sub-Con — Carpentry</t>
  </si>
  <si>
    <t>Oakline Carpentry Ltd</t>
  </si>
  <si>
    <t>Carpentry labour</t>
  </si>
  <si>
    <t>S-HG007</t>
  </si>
  <si>
    <t>Sub-Con — Roofing</t>
  </si>
  <si>
    <t>Peak Roofing Ltd</t>
  </si>
  <si>
    <t>S-HG008</t>
  </si>
  <si>
    <t>Sub-Con — Windows and Ext. Doors</t>
  </si>
  <si>
    <t>Clearview Windows Ltd</t>
  </si>
  <si>
    <t>Windows &amp; external doors</t>
  </si>
  <si>
    <t>S-HG009</t>
  </si>
  <si>
    <t>Sub-Con — Plastering &amp; Drylining</t>
  </si>
  <si>
    <t>SmoothFinish Drylining Ltd</t>
  </si>
  <si>
    <t>Drylining</t>
  </si>
  <si>
    <t>S-HG010</t>
  </si>
  <si>
    <t>Sub-Con — Plumbing &amp; Heating</t>
  </si>
  <si>
    <t>FlowRight Plumbing Ltd</t>
  </si>
  <si>
    <t>Plumbing &amp; heating</t>
  </si>
  <si>
    <t>S-HG011</t>
  </si>
  <si>
    <t>Sub-Con — Electrical</t>
  </si>
  <si>
    <t>Voltwise Electrical Ltd</t>
  </si>
  <si>
    <t>S-HG012</t>
  </si>
  <si>
    <t>Sub-Con — Kitchen Fitting</t>
  </si>
  <si>
    <t>KitchenCraft Installations Ltd</t>
  </si>
  <si>
    <t>Kitchen fitting</t>
  </si>
  <si>
    <t>S-HG013</t>
  </si>
  <si>
    <t>Sub-Con — Painting &amp; Decoration</t>
  </si>
  <si>
    <t>PerfectFinish Decorating Ltd</t>
  </si>
  <si>
    <t>Painting &amp; decorating</t>
  </si>
  <si>
    <t>S-HG014</t>
  </si>
  <si>
    <t>Sub-Con — Ceramic Tiling</t>
  </si>
  <si>
    <t>TileWorks Midlands Ltd</t>
  </si>
  <si>
    <t>Ceramic tiling</t>
  </si>
  <si>
    <t>S-HG015</t>
  </si>
  <si>
    <t>Sub-Con — Cleaning</t>
  </si>
  <si>
    <t>WipeRight Cleaning Ltd</t>
  </si>
  <si>
    <t>S-HG016</t>
  </si>
  <si>
    <t>Sub-con — Fencing</t>
  </si>
  <si>
    <t>Boundary Fencing Ltd</t>
  </si>
  <si>
    <t>Plot fencing</t>
  </si>
  <si>
    <t>S-HG017</t>
  </si>
  <si>
    <t>Sub-con — Planting</t>
  </si>
  <si>
    <t>Greenleaf Landscapes Ltd</t>
  </si>
  <si>
    <t>S-HG018</t>
  </si>
  <si>
    <t>Sub-con — Demolition / Site Clearance / Remediation:</t>
  </si>
  <si>
    <t>CleanEarth Remediation Ltd</t>
  </si>
  <si>
    <t>Remediation</t>
  </si>
  <si>
    <t>S-HG019</t>
  </si>
  <si>
    <t>Sub-con — S278 Works:</t>
  </si>
  <si>
    <t>S278 works</t>
  </si>
  <si>
    <t>M-HG001</t>
  </si>
  <si>
    <t>Material — Bricks</t>
  </si>
  <si>
    <t>Midlands Brick Supplies</t>
  </si>
  <si>
    <t>M</t>
  </si>
  <si>
    <t>M-HG002</t>
  </si>
  <si>
    <t>Material — Blocks - Aggrtegate</t>
  </si>
  <si>
    <t>BlockCo Ltd</t>
  </si>
  <si>
    <t>Aggregate blocks</t>
  </si>
  <si>
    <t>M-HG003</t>
  </si>
  <si>
    <t>Material — Blocks - Airated</t>
  </si>
  <si>
    <t>AirBlock Ltd</t>
  </si>
  <si>
    <t>Aerated blocks</t>
  </si>
  <si>
    <t>M-HG004</t>
  </si>
  <si>
    <t>Material — Sand Cement &amp; Mortar</t>
  </si>
  <si>
    <t>MortarMix Ltd</t>
  </si>
  <si>
    <t>Mortar</t>
  </si>
  <si>
    <t>M-HG005</t>
  </si>
  <si>
    <t>Material — Roof Timbers</t>
  </si>
  <si>
    <t>TimberFrame Merchants</t>
  </si>
  <si>
    <t>Roof timbers</t>
  </si>
  <si>
    <t>M-HG006</t>
  </si>
  <si>
    <t>Material — Internal Doors</t>
  </si>
  <si>
    <t>DoorSet UK</t>
  </si>
  <si>
    <t>Internal doors</t>
  </si>
  <si>
    <t>M-HG007</t>
  </si>
  <si>
    <t>Sub-Con — Appliances</t>
  </si>
  <si>
    <t>Home Appliance Supply</t>
  </si>
  <si>
    <t>Commercial Events — Designed UAT Scenarios</t>
  </si>
  <si>
    <t>Event No.</t>
  </si>
  <si>
    <t>Event Type</t>
  </si>
  <si>
    <t>Description</t>
  </si>
  <si>
    <t>Value (£)</t>
  </si>
  <si>
    <t>Financial Treatment</t>
  </si>
  <si>
    <t>Relationship Type</t>
  </si>
  <si>
    <t>Linked Event</t>
  </si>
  <si>
    <t>CCV Impact (£)</t>
  </si>
  <si>
    <t>UAT Purpose</t>
  </si>
  <si>
    <t>CE-HG001</t>
  </si>
  <si>
    <t>variation</t>
  </si>
  <si>
    <t>Unexpected soft spots and stone replacement</t>
  </si>
  <si>
    <t>approved</t>
  </si>
  <si>
    <t>contractAmendment</t>
  </si>
  <si>
    <t>Groundworks approved overspend</t>
  </si>
  <si>
    <t>CE-HG002</t>
  </si>
  <si>
    <t>Additional muck-away risk</t>
  </si>
  <si>
    <t>submitted</t>
  </si>
  <si>
    <t>Pending risk</t>
  </si>
  <si>
    <t>CE-HG003</t>
  </si>
  <si>
    <t>Additional masonry detailing</t>
  </si>
  <si>
    <t>Small approved uplift</t>
  </si>
  <si>
    <t>CE-HG004</t>
  </si>
  <si>
    <t>salesUpgrade</t>
  </si>
  <si>
    <t>Customer electrical upgrades</t>
  </si>
  <si>
    <t>Payable customer extras</t>
  </si>
  <si>
    <t>CE-HG005</t>
  </si>
  <si>
    <t>Repair dryliner damage</t>
  </si>
  <si>
    <t>origin</t>
  </si>
  <si>
    <t>CE-HG006</t>
  </si>
  <si>
    <t>Payable origin</t>
  </si>
  <si>
    <t>contraCharge</t>
  </si>
  <si>
    <t>recoverableDeduction</t>
  </si>
  <si>
    <t>recovery</t>
  </si>
  <si>
    <t>Linked recovery; payment-only</t>
  </si>
  <si>
    <t>CE-HG007</t>
  </si>
  <si>
    <t>credit</t>
  </si>
  <si>
    <t>Omitted secondary towel radiators</t>
  </si>
  <si>
    <t>Approved credit</t>
  </si>
  <si>
    <t>CE-HG008</t>
  </si>
  <si>
    <t>Revised patio-door specification</t>
  </si>
  <si>
    <t>CE-HG009</t>
  </si>
  <si>
    <t>Revised valley detail</t>
  </si>
  <si>
    <t>Pending variation</t>
  </si>
  <si>
    <t>CE-HG010</t>
  </si>
  <si>
    <t>Damage to finished flooring</t>
  </si>
  <si>
    <t>Direct recovery</t>
  </si>
  <si>
    <t>CE-HG011</t>
  </si>
  <si>
    <t>Additional colour changes</t>
  </si>
  <si>
    <t>draft</t>
  </si>
  <si>
    <t>Draft variation</t>
  </si>
  <si>
    <t>CE-HG012</t>
  </si>
  <si>
    <t>Additional traffic-management phase</t>
  </si>
  <si>
    <t>Approved S278 uplift</t>
  </si>
  <si>
    <t>Payment Certificate History</t>
  </si>
  <si>
    <t>Certificate No.</t>
  </si>
  <si>
    <t>Gross Works (£)</t>
  </si>
  <si>
    <t>Retention (£)</t>
  </si>
  <si>
    <t>Recovery Deduction (£)</t>
  </si>
  <si>
    <t>Net Payment (£)</t>
  </si>
  <si>
    <t>Certificate Date</t>
  </si>
  <si>
    <t>Notes</t>
  </si>
  <si>
    <t>Locked</t>
  </si>
  <si>
    <t>Fictional UAT certificate history</t>
  </si>
  <si>
    <t>Partial linked recovery deduction — payment-only.</t>
  </si>
  <si>
    <t>Cost Ledger — Fictional Accounting Transactions</t>
  </si>
  <si>
    <t>Posting Date</t>
  </si>
  <si>
    <t>Reference</t>
  </si>
  <si>
    <t>Debit (£)</t>
  </si>
  <si>
    <t>UAT Flag</t>
  </si>
  <si>
    <t>HG-1100-01</t>
  </si>
  <si>
    <t>Land Cost - ledger posting 1</t>
  </si>
  <si>
    <t>HG-1100-02</t>
  </si>
  <si>
    <t>Land Cost - ledger posting 2</t>
  </si>
  <si>
    <t>HG-1100-03</t>
  </si>
  <si>
    <t>Land Cost - ledger posting 3</t>
  </si>
  <si>
    <t>HG-1100-04</t>
  </si>
  <si>
    <t>Land Cost - ledger posting 4</t>
  </si>
  <si>
    <t>HG-1120-01</t>
  </si>
  <si>
    <t>Stamp Duty - Incl VAT if applicable - ledger posting 1</t>
  </si>
  <si>
    <t>HG-1120-02</t>
  </si>
  <si>
    <t>Stamp Duty - Incl VAT if applicable - ledger posting 2</t>
  </si>
  <si>
    <t>HG-1120-03</t>
  </si>
  <si>
    <t>Stamp Duty - Incl VAT if applicable - ledger posting 3</t>
  </si>
  <si>
    <t>HG-1130-01</t>
  </si>
  <si>
    <t>Legal Fees - Solicitor - ledger posting 1</t>
  </si>
  <si>
    <t>HG-1130-02</t>
  </si>
  <si>
    <t>Legal Fees - Solicitor - ledger posting 2</t>
  </si>
  <si>
    <t>HG-1170-01</t>
  </si>
  <si>
    <t>Planning Application &amp; Supporting Fees - ledger posting 1</t>
  </si>
  <si>
    <t>HG-1170-02</t>
  </si>
  <si>
    <t>Planning Application &amp; Supporting Fees - ledger posting 2</t>
  </si>
  <si>
    <t>HG-1180-01</t>
  </si>
  <si>
    <t>Site Investigation - ledger posting 1</t>
  </si>
  <si>
    <t>HG-1180-02</t>
  </si>
  <si>
    <t>Site Investigation - ledger posting 2</t>
  </si>
  <si>
    <t>HG-1190-01</t>
  </si>
  <si>
    <t>Archaeology - ledger posting 1</t>
  </si>
  <si>
    <t>HG-1190-02</t>
  </si>
  <si>
    <t>Archaeology - ledger posting 2</t>
  </si>
  <si>
    <t>HG-1210-01</t>
  </si>
  <si>
    <t>Design Fees - ledger posting 1</t>
  </si>
  <si>
    <t>HG-1210-02</t>
  </si>
  <si>
    <t>Design Fees - ledger posting 2</t>
  </si>
  <si>
    <t>HG-1220-01</t>
  </si>
  <si>
    <t>Architects - Post Planning - ledger posting 1</t>
  </si>
  <si>
    <t>HG-1220-02</t>
  </si>
  <si>
    <t>Architects - Post Planning - ledger posting 2</t>
  </si>
  <si>
    <t>HG-1230-01</t>
  </si>
  <si>
    <t>Engineers - ledger posting 1</t>
  </si>
  <si>
    <t>HG-1230-02</t>
  </si>
  <si>
    <t>Engineers - ledger posting 2</t>
  </si>
  <si>
    <t>HG-1280-01</t>
  </si>
  <si>
    <t>Highways Consultants - ledger posting 1</t>
  </si>
  <si>
    <t>HG-1290-01</t>
  </si>
  <si>
    <t>Environmental Consultants - ledger posting 1</t>
  </si>
  <si>
    <t>HG-1380-01</t>
  </si>
  <si>
    <t>NHBC - Warranty &amp; Build control - ledger posting 1</t>
  </si>
  <si>
    <t>HG-1380-02</t>
  </si>
  <si>
    <t>NHBC - Warranty &amp; Build control - ledger posting 2</t>
  </si>
  <si>
    <t>HG-2100-01</t>
  </si>
  <si>
    <t>Site Manager - ledger posting 1</t>
  </si>
  <si>
    <t>HG-2100-02</t>
  </si>
  <si>
    <t>Site Manager - ledger posting 2</t>
  </si>
  <si>
    <t>HG-2101-01</t>
  </si>
  <si>
    <t>Assistant Site Manager - ledger posting 1</t>
  </si>
  <si>
    <t>HG-2101-02</t>
  </si>
  <si>
    <t>Assistant Site Manager - ledger posting 2</t>
  </si>
  <si>
    <t>HG-2151-01</t>
  </si>
  <si>
    <t>Forklift Driver - Agency - ledger posting 1</t>
  </si>
  <si>
    <t>HG-2161-01</t>
  </si>
  <si>
    <t>Labourer - Agency - ledger posting 1</t>
  </si>
  <si>
    <t>HG-2190-01</t>
  </si>
  <si>
    <t>Forklift Truck - ledger posting 1</t>
  </si>
  <si>
    <t>HG-2200-01</t>
  </si>
  <si>
    <t>Site Office - ledger posting 1</t>
  </si>
  <si>
    <t>HG-2211-01</t>
  </si>
  <si>
    <t>Fuel - ledger posting 1</t>
  </si>
  <si>
    <t>HG-2230-01</t>
  </si>
  <si>
    <t>Site Electric Usage - ledger posting 1</t>
  </si>
  <si>
    <t>HG-2231-01</t>
  </si>
  <si>
    <t>Site Water Usage - ledger posting 1</t>
  </si>
  <si>
    <t>HG-2280-01</t>
  </si>
  <si>
    <t>Skips - ledger posting 1</t>
  </si>
  <si>
    <t>HG-2330-01</t>
  </si>
  <si>
    <t>Security - Cameras - ledger posting 1</t>
  </si>
  <si>
    <t>HG-3100-01</t>
  </si>
  <si>
    <t>Groundworker Prelims - ledger posting 1</t>
  </si>
  <si>
    <t>HG-3100-02</t>
  </si>
  <si>
    <t>Groundworker Prelims - ledger posting 2</t>
  </si>
  <si>
    <t>HG-3100-03</t>
  </si>
  <si>
    <t>Groundworker Prelims - ledger posting 3</t>
  </si>
  <si>
    <t>HG-3100-04</t>
  </si>
  <si>
    <t>Groundworker Prelims - ledger posting 4</t>
  </si>
  <si>
    <t>HG-3110-01</t>
  </si>
  <si>
    <t>Duct Crossings - ledger posting 1</t>
  </si>
  <si>
    <t>HG-3110-02</t>
  </si>
  <si>
    <t>Duct Crossings - ledger posting 2</t>
  </si>
  <si>
    <t>HG-3120-01</t>
  </si>
  <si>
    <t>Footpaths to Base - ledger posting 1</t>
  </si>
  <si>
    <t>HG-3120-02</t>
  </si>
  <si>
    <t>Footpaths to Base - ledger posting 2</t>
  </si>
  <si>
    <t>HG-3170-01</t>
  </si>
  <si>
    <t>Electricity Mains - Mains &amp; Connections - ledger posting 1</t>
  </si>
  <si>
    <t>HG-3170-02</t>
  </si>
  <si>
    <t>Electricity Mains - Mains &amp; Connections - ledger posting 2</t>
  </si>
  <si>
    <t>HG-3190-01</t>
  </si>
  <si>
    <t>Water Mains - Laying &amp; Connection - ledger posting 1</t>
  </si>
  <si>
    <t>HG-3500-01</t>
  </si>
  <si>
    <t>Service Trenches &amp; Ducts - ledger posting 1</t>
  </si>
  <si>
    <t>HG-3500-02</t>
  </si>
  <si>
    <t>Service Trenches &amp; Ducts - ledger posting 2</t>
  </si>
  <si>
    <t>HG-3500-03</t>
  </si>
  <si>
    <t>Service Trenches &amp; Ducts - ledger posting 3</t>
  </si>
  <si>
    <t>HG-3510-01</t>
  </si>
  <si>
    <t>Muck Away - ledger posting 1</t>
  </si>
  <si>
    <t>HG-3510-02</t>
  </si>
  <si>
    <t>Muck Away - ledger posting 2</t>
  </si>
  <si>
    <t>HG-3520-01</t>
  </si>
  <si>
    <t>Plot Drainage incl Internal Drainage - ledger posting 1</t>
  </si>
  <si>
    <t>HG-3520-02</t>
  </si>
  <si>
    <t>Plot Drainage incl Internal Drainage - ledger posting 2</t>
  </si>
  <si>
    <t>HG-3520-03</t>
  </si>
  <si>
    <t>Plot Drainage incl Internal Drainage - ledger posting 3</t>
  </si>
  <si>
    <t>HG-3540-01</t>
  </si>
  <si>
    <t>Private Drive Formation - ledger posting 1</t>
  </si>
  <si>
    <t>HG-3540-02</t>
  </si>
  <si>
    <t>Private Drive Formation - ledger posting 2</t>
  </si>
  <si>
    <t>HG-3590-01</t>
  </si>
  <si>
    <t>Fencing - ledger posting 1</t>
  </si>
  <si>
    <t>HG-3590-02</t>
  </si>
  <si>
    <t>Fencing - ledger posting 2</t>
  </si>
  <si>
    <t>HG-4110-01</t>
  </si>
  <si>
    <t>Scaffolding - ledger posting 1</t>
  </si>
  <si>
    <t>HG-4110-02</t>
  </si>
  <si>
    <t>Scaffolding - ledger posting 2</t>
  </si>
  <si>
    <t>HG-4120-01</t>
  </si>
  <si>
    <t>Brickwork - ledger posting 1</t>
  </si>
  <si>
    <t>HG-4120-02</t>
  </si>
  <si>
    <t>Brickwork - ledger posting 2</t>
  </si>
  <si>
    <t>HG-4120-03</t>
  </si>
  <si>
    <t>Brickwork - ledger posting 3</t>
  </si>
  <si>
    <t>HG-4120-04</t>
  </si>
  <si>
    <t>Brickwork - ledger posting 4</t>
  </si>
  <si>
    <t>HG-4130-01</t>
  </si>
  <si>
    <t>Carpentry - ledger posting 1</t>
  </si>
  <si>
    <t>HG-4130-02</t>
  </si>
  <si>
    <t>Carpentry - ledger posting 2</t>
  </si>
  <si>
    <t>HG-4130-03</t>
  </si>
  <si>
    <t>Carpentry - ledger posting 3</t>
  </si>
  <si>
    <t>HG-4180-01</t>
  </si>
  <si>
    <t>Roofing - ledger posting 1</t>
  </si>
  <si>
    <t>HG-4180-02</t>
  </si>
  <si>
    <t>Roofing - ledger posting 2</t>
  </si>
  <si>
    <t>HG-4200-01</t>
  </si>
  <si>
    <t>Windows and Ext. Doors - ledger posting 1</t>
  </si>
  <si>
    <t>HG-4200-02</t>
  </si>
  <si>
    <t>Windows and Ext. Doors - ledger posting 2</t>
  </si>
  <si>
    <t>HG-4230-01</t>
  </si>
  <si>
    <t>Plastering &amp; Drylining - ledger posting 1</t>
  </si>
  <si>
    <t>HG-4230-02</t>
  </si>
  <si>
    <t>Plastering &amp; Drylining - ledger posting 2</t>
  </si>
  <si>
    <t>HG-4230-03</t>
  </si>
  <si>
    <t>Plastering &amp; Drylining - ledger posting 3</t>
  </si>
  <si>
    <t>HG-4240-01</t>
  </si>
  <si>
    <t>Plumbing &amp; Heating - ledger posting 1</t>
  </si>
  <si>
    <t>HG-4240-02</t>
  </si>
  <si>
    <t>Plumbing &amp; Heating - ledger posting 2</t>
  </si>
  <si>
    <t>HG-4240-03</t>
  </si>
  <si>
    <t>Plumbing &amp; Heating - ledger posting 3</t>
  </si>
  <si>
    <t>HG-4250-01</t>
  </si>
  <si>
    <t>Electrical - ledger posting 1</t>
  </si>
  <si>
    <t>HG-4250-02</t>
  </si>
  <si>
    <t>Electrical - ledger posting 2</t>
  </si>
  <si>
    <t>HG-4250-03</t>
  </si>
  <si>
    <t>Electrical - ledger posting 3</t>
  </si>
  <si>
    <t>HG-4260-01</t>
  </si>
  <si>
    <t>Kitchen Fitting - ledger posting 1</t>
  </si>
  <si>
    <t>HG-4260-02</t>
  </si>
  <si>
    <t>Kitchen Fitting - ledger posting 2</t>
  </si>
  <si>
    <t>HG-4340-01</t>
  </si>
  <si>
    <t>Painting &amp; Decoration - ledger posting 1</t>
  </si>
  <si>
    <t>HG-4340-02</t>
  </si>
  <si>
    <t>Painting &amp; Decoration - ledger posting 2</t>
  </si>
  <si>
    <t>HG-4350-01</t>
  </si>
  <si>
    <t>Ceramic Tiling - ledger posting 1</t>
  </si>
  <si>
    <t>HG-4350-02</t>
  </si>
  <si>
    <t>Ceramic Tiling - ledger posting 2</t>
  </si>
  <si>
    <t>HG-4360-01</t>
  </si>
  <si>
    <t>Cleaning - ledger posting 1</t>
  </si>
  <si>
    <t>HG-4500-01</t>
  </si>
  <si>
    <t>Bricks - ledger posting 1</t>
  </si>
  <si>
    <t>HG-4500-02</t>
  </si>
  <si>
    <t>Bricks - ledger posting 2</t>
  </si>
  <si>
    <t>HG-4500-03</t>
  </si>
  <si>
    <t>Bricks - ledger posting 3</t>
  </si>
  <si>
    <t>HG-4500-04</t>
  </si>
  <si>
    <t>Bricks - ledger posting 4</t>
  </si>
  <si>
    <t>HG-4560-01</t>
  </si>
  <si>
    <t>Blocks - Aggrtegate - ledger posting 1</t>
  </si>
  <si>
    <t>HG-4560-02</t>
  </si>
  <si>
    <t>Blocks - Aggrtegate - ledger posting 2</t>
  </si>
  <si>
    <t>HG-4570-01</t>
  </si>
  <si>
    <t>Blocks - Airated - ledger posting 1</t>
  </si>
  <si>
    <t>HG-4570-02</t>
  </si>
  <si>
    <t>Blocks - Airated - ledger posting 2</t>
  </si>
  <si>
    <t>HG-4580-01</t>
  </si>
  <si>
    <t>Sand Cement &amp; Mortar - ledger posting 1</t>
  </si>
  <si>
    <t>HG-4580-02</t>
  </si>
  <si>
    <t>Sand Cement &amp; Mortar - ledger posting 2</t>
  </si>
  <si>
    <t>HG-4610-01</t>
  </si>
  <si>
    <t>Lintels - ledger posting 1</t>
  </si>
  <si>
    <t>HG-4610-02</t>
  </si>
  <si>
    <t>Lintels - ledger posting 2</t>
  </si>
  <si>
    <t>HG-4640-01</t>
  </si>
  <si>
    <t>Joists - ledger posting 1</t>
  </si>
  <si>
    <t>HG-4640-02</t>
  </si>
  <si>
    <t>Joists - ledger posting 2</t>
  </si>
  <si>
    <t>HG-4660-01</t>
  </si>
  <si>
    <t>Roof Timbers - ledger posting 1</t>
  </si>
  <si>
    <t>HG-4660-02</t>
  </si>
  <si>
    <t>Roof Timbers - ledger posting 2</t>
  </si>
  <si>
    <t>HG-4730-01</t>
  </si>
  <si>
    <t>Internal Doors - ledger posting 1</t>
  </si>
  <si>
    <t>HG-4730-02</t>
  </si>
  <si>
    <t>Internal Doors - ledger posting 2</t>
  </si>
  <si>
    <t>HG-4760-01</t>
  </si>
  <si>
    <t>Insulation Materials - ledger posting 1</t>
  </si>
  <si>
    <t>HG-4760-02</t>
  </si>
  <si>
    <t>Insulation Materials - ledger posting 2</t>
  </si>
  <si>
    <t>HG-5100-01</t>
  </si>
  <si>
    <t>Demolition / Site Clearance / Remediation: - ledger posting 1</t>
  </si>
  <si>
    <t>HG-5100-02</t>
  </si>
  <si>
    <t>Demolition / Site Clearance / Remediation: - ledger posting 2</t>
  </si>
  <si>
    <t>HG-5100-03</t>
  </si>
  <si>
    <t>Demolition / Site Clearance / Remediation: - ledger posting 3</t>
  </si>
  <si>
    <t>HG-5170-01</t>
  </si>
  <si>
    <t>Attenuation Pond / Swales / Culverts: - ledger posting 1</t>
  </si>
  <si>
    <t>HG-5170-02</t>
  </si>
  <si>
    <t>Attenuation Pond / Swales / Culverts: - ledger posting 2</t>
  </si>
  <si>
    <t>HG-5200-01</t>
  </si>
  <si>
    <t>Retaining Features &amp; Steps: - ledger posting 1</t>
  </si>
  <si>
    <t>HG-5200-02</t>
  </si>
  <si>
    <t>Retaining Features &amp; Steps: - ledger posting 2</t>
  </si>
  <si>
    <t>HG-5240-01</t>
  </si>
  <si>
    <t>Earthworks - Arisings - ledger posting 1</t>
  </si>
  <si>
    <t>HG-5240-02</t>
  </si>
  <si>
    <t>Earthworks - Arisings - ledger posting 2</t>
  </si>
  <si>
    <t>HG-5260-01</t>
  </si>
  <si>
    <t>S278 Works: - ledger posting 1</t>
  </si>
  <si>
    <t>HG-5260-02</t>
  </si>
  <si>
    <t>S278 Works: - ledger posting 2</t>
  </si>
  <si>
    <t>HG-5340-01</t>
  </si>
  <si>
    <t>S106 - ledger posting 1</t>
  </si>
  <si>
    <t>HG-5340-02</t>
  </si>
  <si>
    <t>S106 - ledger posting 2</t>
  </si>
  <si>
    <t>HG-5340-03</t>
  </si>
  <si>
    <t>S106 - ledger posting 3</t>
  </si>
  <si>
    <t>HG-5350-01</t>
  </si>
  <si>
    <t>CIL - ledger posting 1</t>
  </si>
  <si>
    <t>HG-5350-02</t>
  </si>
  <si>
    <t>CIL - ledger posting 2</t>
  </si>
  <si>
    <t>HG-5350-03</t>
  </si>
  <si>
    <t>CIL - ledger posting 3</t>
  </si>
  <si>
    <t>Furniture supplier (mispost)</t>
  </si>
  <si>
    <t>HG-4290-01</t>
  </si>
  <si>
    <t>Wardrobes - ledger posting 1</t>
  </si>
  <si>
    <t>DELIBERATE WRONG-CODE POSTING</t>
  </si>
  <si>
    <t>HG-6140-01</t>
  </si>
  <si>
    <t>Advertising - ledger posting 1</t>
  </si>
  <si>
    <t>HG-6160-01</t>
  </si>
  <si>
    <t>Showhouse Furnishing - Showhome 1 - ledger posting 1</t>
  </si>
  <si>
    <t>HG-6160-02</t>
  </si>
  <si>
    <t>Showhouse Furnishing - Showhome 1 - ledger posting 2</t>
  </si>
  <si>
    <t>QS Forecast — Known-Answer Inputs</t>
  </si>
  <si>
    <t>Current Commitment (£)</t>
  </si>
  <si>
    <t>Ledger Actual (£)</t>
  </si>
  <si>
    <t>Expected FFC (£)</t>
  </si>
  <si>
    <t>Variance to Budget (£)</t>
  </si>
  <si>
    <t>QS Rationale</t>
  </si>
  <si>
    <t>Forecast at strongest current commercial baseline unless noted.</t>
  </si>
  <si>
    <t>Deliberate wrong-code ledger posting with no budget.</t>
  </si>
  <si>
    <t>Expected CVR — Independent Control Answer</t>
  </si>
  <si>
    <t>KPI</t>
  </si>
  <si>
    <t>Section</t>
  </si>
  <si>
    <t>Variance (£)</t>
  </si>
  <si>
    <t>Original Budget</t>
  </si>
  <si>
    <t>Committed POs</t>
  </si>
  <si>
    <t>Approved CE Movement</t>
  </si>
  <si>
    <t>Ledger Actual</t>
  </si>
  <si>
    <t>Expected FFC</t>
  </si>
  <si>
    <t>Forecast Variance</t>
  </si>
  <si>
    <t>PO Commitment (£)</t>
  </si>
  <si>
    <t>Approved CE (£)</t>
  </si>
  <si>
    <t>Certified Gross (£)</t>
  </si>
  <si>
    <t>Status / Test Note</t>
  </si>
  <si>
    <t>UAT Scenarios — What BuildLite Must Prove</t>
  </si>
  <si>
    <t>ID</t>
  </si>
  <si>
    <t>Area</t>
  </si>
  <si>
    <t>Scenario</t>
  </si>
  <si>
    <t>Expected Result</t>
  </si>
  <si>
    <t>Key Codes / Packages</t>
  </si>
  <si>
    <t>Severity if Wrong</t>
  </si>
  <si>
    <t>Control Source</t>
  </si>
  <si>
    <t>UAT-01</t>
  </si>
  <si>
    <t>Budget</t>
  </si>
  <si>
    <t>Original budget totals agree to Expected CVR</t>
  </si>
  <si>
    <t>Exact match to workbook total</t>
  </si>
  <si>
    <t>All</t>
  </si>
  <si>
    <t>Critical</t>
  </si>
  <si>
    <t>Not Run</t>
  </si>
  <si>
    <t>Expected CVR</t>
  </si>
  <si>
    <t>UAT-02</t>
  </si>
  <si>
    <t>Groundworks</t>
  </si>
  <si>
    <t>Approved £35k CE + £20k pending risk</t>
  </si>
  <si>
    <t>CCV includes £35k only; pending £20k; FFC £155k on 3100</t>
  </si>
  <si>
    <t>3100 / S-HG001</t>
  </si>
  <si>
    <t>CE + Forecast</t>
  </si>
  <si>
    <t>UAT-03</t>
  </si>
  <si>
    <t>Productivity loss despite PO below budget</t>
  </si>
  <si>
    <t>Budget £245k; current commitment £240k; FFC £255k; £10k adverse</t>
  </si>
  <si>
    <t>4120 / S-HG005</t>
  </si>
  <si>
    <t>UAT-04</t>
  </si>
  <si>
    <t>Control package with saving</t>
  </si>
  <si>
    <t>PO/FFC £175k vs £180k budget = £5k favourable</t>
  </si>
  <si>
    <t>4130 / S-HG006</t>
  </si>
  <si>
    <t>High</t>
  </si>
  <si>
    <t>UAT-05</t>
  </si>
  <si>
    <t>Customer upgrade + payable repair origin</t>
  </si>
  <si>
    <t>CCV £156k; payable events certifiable</t>
  </si>
  <si>
    <t>4250 / S-HG011</t>
  </si>
  <si>
    <t>CE Register</t>
  </si>
  <si>
    <t>UAT-06</t>
  </si>
  <si>
    <t>Drylining recovery</t>
  </si>
  <si>
    <t>£4k linked recovery against Drylining</t>
  </si>
  <si>
    <t>Drylining CCV unchanged; Recovery Position driven by deduction history</t>
  </si>
  <si>
    <t>4230 / S-HG009</t>
  </si>
  <si>
    <t>Recovery overlay</t>
  </si>
  <si>
    <t>UAT-07</t>
  </si>
  <si>
    <t>Plumbing credit</t>
  </si>
  <si>
    <t>Approved £6k credit</t>
  </si>
  <si>
    <t>CCV £179k; forecast saving £11k vs budget</t>
  </si>
  <si>
    <t>4240 / S-HG010</t>
  </si>
  <si>
    <t>UAT-08</t>
  </si>
  <si>
    <t>Windows credit</t>
  </si>
  <si>
    <t>Approved £3k credit</t>
  </si>
  <si>
    <t>CCV/FFC £119k</t>
  </si>
  <si>
    <t>4200 / S-HG008</t>
  </si>
  <si>
    <t>Medium</t>
  </si>
  <si>
    <t>UAT-09</t>
  </si>
  <si>
    <t>Roofing pending</t>
  </si>
  <si>
    <t>£8k submitted variation</t>
  </si>
  <si>
    <t>Pending £8k; CCV £110k until approval; FFC £118k</t>
  </si>
  <si>
    <t>4180 / S-HG007</t>
  </si>
  <si>
    <t>UAT-10</t>
  </si>
  <si>
    <t>£1.5k Cleaning direct recovery</t>
  </si>
  <si>
    <t>Excluded from CCV; shown in Recovery Position; payment-only</t>
  </si>
  <si>
    <t>4360 / S-HG015</t>
  </si>
  <si>
    <t>UAT-11</t>
  </si>
  <si>
    <t>Ledger vs certificates</t>
  </si>
  <si>
    <t>Actual cost differs from certified gross</t>
  </si>
  <si>
    <t>CVR keeps ledger actual and certified-to-date distinct</t>
  </si>
  <si>
    <t>Multiple</t>
  </si>
  <si>
    <t>Ledger/Certificates</t>
  </si>
  <si>
    <t>UAT-12</t>
  </si>
  <si>
    <t>Wrong-code posting</t>
  </si>
  <si>
    <t>£8.5k on unbudgeted Wardrobes code</t>
  </si>
  <si>
    <t>CVR exposes £8.5k unbudgeted/adverse cost</t>
  </si>
  <si>
    <t>Ledger</t>
  </si>
  <si>
    <t>UAT-13</t>
  </si>
  <si>
    <t>Material overspend</t>
  </si>
  <si>
    <t>Brick material final cost exceeds budget</t>
  </si>
  <si>
    <t>4500 FFC £172k vs £165k = £7k adverse</t>
  </si>
  <si>
    <t>4500 / M-HG001</t>
  </si>
  <si>
    <t>UAT-14</t>
  </si>
  <si>
    <t>Contingency saving</t>
  </si>
  <si>
    <t>Only £20k of £30k prelim contingency forecast</t>
  </si>
  <si>
    <t>£10k favourable variance</t>
  </si>
  <si>
    <t>Forecast</t>
  </si>
  <si>
    <t>UAT-15</t>
  </si>
  <si>
    <t>Navigation / hydration</t>
  </si>
  <si>
    <t>Open package/CVR/certs repeatedly</t>
  </si>
  <si>
    <t>No blank screens, false zeros, stale model or negative remaining contract</t>
  </si>
  <si>
    <t>UI</t>
  </si>
  <si>
    <t>UAT-16</t>
  </si>
  <si>
    <t>Plot Import</t>
  </si>
  <si>
    <t>Valid 24-plot schedule imports</t>
  </si>
  <si>
    <t>24 unique plots; house type/config/beds/GIA/phase/tenure/status all populated</t>
  </si>
  <si>
    <t>Plot Schedule</t>
  </si>
  <si>
    <t>Plot Schedule Control</t>
  </si>
  <si>
    <t>UAT-17</t>
  </si>
  <si>
    <t>Duplicate Plot 12 negative file</t>
  </si>
  <si>
    <t>Import blocked with duplicate plot-number validation</t>
  </si>
  <si>
    <t>NEGATIVE TEST 1</t>
  </si>
  <si>
    <t>Plot import validation</t>
  </si>
  <si>
    <t>UAT-18</t>
  </si>
  <si>
    <t>Plot 18 missing House Type</t>
  </si>
  <si>
    <t>Import blocked because House Type is required</t>
  </si>
  <si>
    <t>NEGATIVE TEST 2</t>
  </si>
  <si>
    <t>UAT-19</t>
  </si>
  <si>
    <t>Sq Ft heading mapping test</t>
  </si>
  <si>
    <t>GIA should not auto-detect from 'Sq Ft'; wizard should require manual mapping</t>
  </si>
  <si>
    <t>MAPPING TEST</t>
  </si>
  <si>
    <t>Header alias behaviour</t>
  </si>
  <si>
    <t>UAT-20</t>
  </si>
  <si>
    <t>Base GDV from ft² × house-type rate</t>
  </si>
  <si>
    <t>BuildLite base revenue matches control before plot extras</t>
  </si>
  <si>
    <t>All plots</t>
  </si>
  <si>
    <t>Revenue Strategy Control</t>
  </si>
  <si>
    <t>UAT-21</t>
  </si>
  <si>
    <t>Garage premiums entered after import</t>
  </si>
  <si>
    <t>Garage values increase plot selling prices exactly as control</t>
  </si>
  <si>
    <t>Selected plots</t>
  </si>
  <si>
    <t>UAT-22</t>
  </si>
  <si>
    <t>Plot-specific premiums/discounts</t>
  </si>
  <si>
    <t>Open-space/larger-garden premiums and poor-position discounts reconcile to control</t>
  </si>
  <si>
    <t>UAT-23</t>
  </si>
  <si>
    <t>Final GDV reconciliation</t>
  </si>
  <si>
    <t>Total final plot revenue equals control workbook exactly</t>
  </si>
  <si>
    <t>Hawthorn Gardens — Payment Matrix Pack</t>
  </si>
  <si>
    <t>PO Value (£)</t>
  </si>
  <si>
    <t>Stage Count</t>
  </si>
  <si>
    <t>File Name</t>
  </si>
  <si>
    <t>Test Type</t>
  </si>
  <si>
    <t>Purpose / Expected Behaviour</t>
  </si>
  <si>
    <t>S-HG001 - 3100 - Groundworker Prelims.xlsx</t>
  </si>
  <si>
    <t>VALID</t>
  </si>
  <si>
    <t>Matrix total exactly equals PO value</t>
  </si>
  <si>
    <t>S-HG002 - 3500 - Service Trenches &amp; Ducts.xlsx</t>
  </si>
  <si>
    <t>S-HG003 - 3520 - Plot Drainage incl Internal Drainage.xlsx</t>
  </si>
  <si>
    <t>S-HG004 - 4110 - Scaffolding.xlsx</t>
  </si>
  <si>
    <t>S-HG005 - 4120 - Brickwork.xlsx</t>
  </si>
  <si>
    <t>S-HG006 - 4130 - Carpentry.xlsx</t>
  </si>
  <si>
    <t>S-HG007 - 4180 - Roofing.xlsx</t>
  </si>
  <si>
    <t>S-HG008 - 4200 - Windows and Ext. Doors.xlsx</t>
  </si>
  <si>
    <t>S-HG009 - 4230 - Plastering &amp; Drylining.xlsx</t>
  </si>
  <si>
    <t>S-HG010 - 4240 - Plumbing &amp; Heating.xlsx</t>
  </si>
  <si>
    <t>S-HG011 - 4250 - Electrical.xlsx</t>
  </si>
  <si>
    <t>S-HG012 - 4260 - Kitchen Fitting.xlsx</t>
  </si>
  <si>
    <t>S-HG013 - 4340 - Painting &amp; Decoration.xlsx</t>
  </si>
  <si>
    <t>S-HG014 - 4350 - Ceramic Tiling.xlsx</t>
  </si>
  <si>
    <t>S-HG015 - 4360 - Cleaning.xlsx</t>
  </si>
  <si>
    <t>S-HG016 - 3590 - Fencing.xlsx</t>
  </si>
  <si>
    <t>S-HG017 - 3640 - Planting.xlsx</t>
  </si>
  <si>
    <t>Demolition / Site Clearance / Remediation</t>
  </si>
  <si>
    <t>S-HG018 - 5100 - Demolition - Site Clearance - Remediation.xlsx</t>
  </si>
  <si>
    <t>S278 Works</t>
  </si>
  <si>
    <t>S-HG019 - 5260 - S278 Works.xlsx</t>
  </si>
  <si>
    <t>NEGATIVE TEST 1 - S-HG005 Brickwork - Totals Row and Column.xlsx</t>
  </si>
  <si>
    <t>NEGATIVE TEST</t>
  </si>
  <si>
    <t>Contains TOTAL row and TOTAL column; tests totals detection/ignore behaviour</t>
  </si>
  <si>
    <t>NEGATIVE TEST 2 - S-HG011 Electrical - Missing Plot 24.xlsx</t>
  </si>
  <si>
    <t>Plot 24 omitted; imported total £132,440.00 vs PO £140,000.00</t>
  </si>
  <si>
    <t>Matrix Stage Profiles — Upload Design</t>
  </si>
  <si>
    <t>Stage 1</t>
  </si>
  <si>
    <t>Stage 2</t>
  </si>
  <si>
    <t>Stage 3</t>
  </si>
  <si>
    <t>Stage 4</t>
  </si>
  <si>
    <t>Stage 5</t>
  </si>
  <si>
    <t>Control</t>
  </si>
  <si>
    <t>Set-up / mobilisation (20%)</t>
  </si>
  <si>
    <t>Substructure support (30%)</t>
  </si>
  <si>
    <t>Mid-programme prelims (30%)</t>
  </si>
  <si>
    <t>Completion / demob (20%)</t>
  </si>
  <si>
    <t>Stage % = 100%</t>
  </si>
  <si>
    <t>Service trenches (30%)</t>
  </si>
  <si>
    <t>Duct installation (30%)</t>
  </si>
  <si>
    <t>Connections (25%)</t>
  </si>
  <si>
    <t>Backfill / final (15%)</t>
  </si>
  <si>
    <t>Below slab drainage (30%)</t>
  </si>
  <si>
    <t>External drainage (30%)</t>
  </si>
  <si>
    <t>Testing (20%)</t>
  </si>
  <si>
    <t>Final connections (20%)</t>
  </si>
  <si>
    <t>Base Lift (25%)</t>
  </si>
  <si>
    <t>Second Lift (30%)</t>
  </si>
  <si>
    <t>Roof Lift (25%)</t>
  </si>
  <si>
    <t>Strike (20%)</t>
  </si>
  <si>
    <t>DPC / Splash (12%)</t>
  </si>
  <si>
    <t>First Lift (28%)</t>
  </si>
  <si>
    <t>To Roof (22%)</t>
  </si>
  <si>
    <t>Snag / Final (8%)</t>
  </si>
  <si>
    <t>Joists / Floor (20%)</t>
  </si>
  <si>
    <t>Roof Carpentry (25%)</t>
  </si>
  <si>
    <t>First Fix (30%)</t>
  </si>
  <si>
    <t>Second Fix (20%)</t>
  </si>
  <si>
    <t>Snag (5%)</t>
  </si>
  <si>
    <t>Felt / Batten (25%)</t>
  </si>
  <si>
    <t>Roof Covering (45%)</t>
  </si>
  <si>
    <t>Ridge / Verges (20%)</t>
  </si>
  <si>
    <t>Final (10%)</t>
  </si>
  <si>
    <t>Frames (45%)</t>
  </si>
  <si>
    <t>Glazing (20%)</t>
  </si>
  <si>
    <t>External Doors (25%)</t>
  </si>
  <si>
    <t>Final Adjustments (10%)</t>
  </si>
  <si>
    <t>Board / Tack (35%)</t>
  </si>
  <si>
    <t>Skim (35%)</t>
  </si>
  <si>
    <t>Ceilings (20%)</t>
  </si>
  <si>
    <t>Snag (10%)</t>
  </si>
  <si>
    <t>First Fix (35%)</t>
  </si>
  <si>
    <t>Second Fix (35%)</t>
  </si>
  <si>
    <t>Sanitaryware (20%)</t>
  </si>
  <si>
    <t>Commissioning (10%)</t>
  </si>
  <si>
    <t>Accessories (20%)</t>
  </si>
  <si>
    <t>Test / Certify (10%)</t>
  </si>
  <si>
    <t>Units (50%)</t>
  </si>
  <si>
    <t>Worktops (25%)</t>
  </si>
  <si>
    <t>Appliances / Final (15%)</t>
  </si>
  <si>
    <t>Mist Coat (20%)</t>
  </si>
  <si>
    <t>First Coat (30%)</t>
  </si>
  <si>
    <t>Final Coat (40%)</t>
  </si>
  <si>
    <t>Bathroom Walls (35%)</t>
  </si>
  <si>
    <t>Bathroom Floors (25%)</t>
  </si>
  <si>
    <t>Kitchen / Splashback (25%)</t>
  </si>
  <si>
    <t>Snag (15%)</t>
  </si>
  <si>
    <t>Build Clean (25%)</t>
  </si>
  <si>
    <t>Sparkle Clean (40%)</t>
  </si>
  <si>
    <t>Pre-Handover Clean (25%)</t>
  </si>
  <si>
    <t>Final / Snag (10%)</t>
  </si>
  <si>
    <t>Rear Boundaries (35%)</t>
  </si>
  <si>
    <t>Side Boundaries (30%)</t>
  </si>
  <si>
    <t>Frontage (25%)</t>
  </si>
  <si>
    <t>Soil Preparation (25%)</t>
  </si>
  <si>
    <t>Planting (40%)</t>
  </si>
  <si>
    <t>Turf / Finish (25%)</t>
  </si>
  <si>
    <t>Establishment (10%)</t>
  </si>
  <si>
    <t>Clearance (25%)</t>
  </si>
  <si>
    <t>Excavate / Treat (40%)</t>
  </si>
  <si>
    <t>Backfill / Make Good (20%)</t>
  </si>
  <si>
    <t>Validation / Closeout (15%)</t>
  </si>
  <si>
    <t>Traffic Management (20%)</t>
  </si>
  <si>
    <t>Kerbs / Civils (30%)</t>
  </si>
  <si>
    <t>Surfacing (35%)</t>
  </si>
  <si>
    <t>Lining / Completion (15%)</t>
  </si>
  <si>
    <t>Hawthorn Gardens — Plot Schedule &amp; Revenue Control</t>
  </si>
  <si>
    <t>Configuration</t>
  </si>
  <si>
    <t>GIA ft²</t>
  </si>
  <si>
    <t>Phase</t>
  </si>
  <si>
    <t>Tenure</t>
  </si>
  <si>
    <t>£/ft²</t>
  </si>
  <si>
    <t>Base Value (£)</t>
  </si>
  <si>
    <t>Garage</t>
  </si>
  <si>
    <t>Garage Premium (£)</t>
  </si>
  <si>
    <t>Plot Premium/(Discount) (£)</t>
  </si>
  <si>
    <t>Expected Selling Price (£)</t>
  </si>
  <si>
    <t>Plot Note</t>
  </si>
  <si>
    <t>Import / Manual</t>
  </si>
  <si>
    <t>Revenue Control</t>
  </si>
  <si>
    <t>1</t>
  </si>
  <si>
    <t>Semi Detached</t>
  </si>
  <si>
    <t>Phase 1</t>
  </si>
  <si>
    <t>Open Market</t>
  </si>
  <si>
    <t>Not Released</t>
  </si>
  <si>
    <t>None</t>
  </si>
  <si>
    <t>Corner / larger frontage</t>
  </si>
  <si>
    <t>Import A-H; set £/ft² / Garage / premiums in BuildLite</t>
  </si>
  <si>
    <t>Base GDV</t>
  </si>
  <si>
    <t>2</t>
  </si>
  <si>
    <t>Garage Premiums</t>
  </si>
  <si>
    <t>3</t>
  </si>
  <si>
    <t>Single Garage</t>
  </si>
  <si>
    <t>Plot Premiums/(Discounts)</t>
  </si>
  <si>
    <t>4</t>
  </si>
  <si>
    <t>Expected Final GDV</t>
  </si>
  <si>
    <t>5</t>
  </si>
  <si>
    <t>Close to site entrance</t>
  </si>
  <si>
    <t>Average £/Unit</t>
  </si>
  <si>
    <t>6</t>
  </si>
  <si>
    <t>7</t>
  </si>
  <si>
    <t>8</t>
  </si>
  <si>
    <t>Backs onto attenuation feature</t>
  </si>
  <si>
    <t>9</t>
  </si>
  <si>
    <t>10</t>
  </si>
  <si>
    <t>11</t>
  </si>
  <si>
    <t>Open-space outlook</t>
  </si>
  <si>
    <t>12</t>
  </si>
  <si>
    <t>13</t>
  </si>
  <si>
    <t>Detached</t>
  </si>
  <si>
    <t>Phase 2</t>
  </si>
  <si>
    <t>14</t>
  </si>
  <si>
    <t>15</t>
  </si>
  <si>
    <t>16</t>
  </si>
  <si>
    <t>17</t>
  </si>
  <si>
    <t>18</t>
  </si>
  <si>
    <t>19</t>
  </si>
  <si>
    <t>20</t>
  </si>
  <si>
    <t>Larger south-facing garden</t>
  </si>
  <si>
    <t>21</t>
  </si>
  <si>
    <t>Double Garage</t>
  </si>
  <si>
    <t>22</t>
  </si>
  <si>
    <t>23</t>
  </si>
  <si>
    <t>24</t>
  </si>
  <si>
    <t>Corner plot + best open-space outlook</t>
  </si>
  <si>
    <t>Revenue Strategy — Known-Answer Control</t>
  </si>
  <si>
    <t>Base Price (£)</t>
  </si>
  <si>
    <t>Garage Rule</t>
  </si>
  <si>
    <t>Location Adjustments</t>
  </si>
  <si>
    <t>Selected plots +£12k single garage</t>
  </si>
  <si>
    <t>±£5k</t>
  </si>
  <si>
    <t>Entry-level control</t>
  </si>
  <si>
    <t>-£7.5k to +£7.5k</t>
  </si>
  <si>
    <t>Core 3-bed</t>
  </si>
  <si>
    <t>All +£15k single garage</t>
  </si>
  <si>
    <t>+£7.5k on selected</t>
  </si>
  <si>
    <t>Detached 3-bed</t>
  </si>
  <si>
    <t>Single/Double garage +£15k/+£25k</t>
  </si>
  <si>
    <t>up to +£15k</t>
  </si>
  <si>
    <t>Premium 4-bed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</si>
</sst>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£#,##0;[Red]\(\£#,##0\);\-"/>
    <numFmt numFmtId="166" formatCode="\£#,##0.00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5" fontId="0" fillId="0" borderId="0" xfId="0" applyNumberFormat="1"/>
    <xf numFmtId="165" fontId="5" fillId="0" borderId="0" xfId="0" applyNumberFormat="1" applyFont="1"/>
    <xf numFmtId="165" fontId="2" fillId="4" borderId="0" xfId="0" applyNumberFormat="1" applyFont="1" applyFill="1"/>
    <xf numFmtId="0" fontId="3" fillId="5" borderId="0" xfId="0" applyFont="1" applyFill="1"/>
    <xf numFmtId="0" fontId="3" fillId="5" borderId="0" xfId="0" applyFont="1" applyFill="1" applyAlignment="1">
      <alignment wrapText="1"/>
    </xf>
    <xf numFmtId="166" fontId="0" fillId="0" borderId="0" xfId="0" applyNumberFormat="1"/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2" fillId="7" borderId="0" xfId="0" applyFont="1" applyFill="1"/>
    <xf numFmtId="0" fontId="1" fillId="2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5">
    <dxf>
      <font>
        <b/>
        <color rgb="FFC00000"/>
      </font>
      <fill>
        <patternFill>
          <bgColor rgb="FFFCE4D6"/>
        </patternFill>
      </fill>
    </dxf>
    <dxf>
      <font>
        <b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Budget vs Expected FFC by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 (£)</c:v>
          </c:tx>
          <c:invertIfNegative val="1"/>
          <c:cat>
            <c:strRef>
              <c:f>'Expected CVR'!$N$4:$N$12</c:f>
              <c:strCache>
                <c:ptCount val="9"/>
                <c:pt idx="0">
                  <c:v>Land</c:v>
                </c:pt>
                <c:pt idx="1">
                  <c:v>Fees</c:v>
                </c:pt>
                <c:pt idx="2">
                  <c:v>Prelims</c:v>
                </c:pt>
                <c:pt idx="3">
                  <c:v>R&amp;S</c:v>
                </c:pt>
                <c:pt idx="4">
                  <c:v>Plot</c:v>
                </c:pt>
                <c:pt idx="5">
                  <c:v>Super-Structure</c:v>
                </c:pt>
                <c:pt idx="6">
                  <c:v>Abnormals</c:v>
                </c:pt>
                <c:pt idx="7">
                  <c:v>Contributions</c:v>
                </c:pt>
                <c:pt idx="8">
                  <c:v>Sales</c:v>
                </c:pt>
              </c:strCache>
            </c:strRef>
          </c:cat>
          <c:val>
            <c:numRef>
              <c:f>'Expected CVR'!$O$4:$O$12</c:f>
              <c:numCache>
                <c:formatCode>\£#,##0;[Red]\(\£#,##0\);\-</c:formatCode>
                <c:ptCount val="9"/>
                <c:pt idx="0">
                  <c:v>1760000</c:v>
                </c:pt>
                <c:pt idx="1">
                  <c:v>522000</c:v>
                </c:pt>
                <c:pt idx="2">
                  <c:v>516500</c:v>
                </c:pt>
                <c:pt idx="3">
                  <c:v>500000</c:v>
                </c:pt>
                <c:pt idx="4">
                  <c:v>855000</c:v>
                </c:pt>
                <c:pt idx="5">
                  <c:v>2948000</c:v>
                </c:pt>
                <c:pt idx="6">
                  <c:v>413000</c:v>
                </c:pt>
                <c:pt idx="7">
                  <c:v>275000</c:v>
                </c:pt>
                <c:pt idx="8">
                  <c:v>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B-4519-A593-36E017FE6E33}"/>
            </c:ext>
          </c:extLst>
        </c:ser>
        <c:ser>
          <c:idx val="1"/>
          <c:order val="1"/>
          <c:tx>
            <c:v>Expected FFC (£)</c:v>
          </c:tx>
          <c:invertIfNegative val="1"/>
          <c:cat>
            <c:strRef>
              <c:f>'Expected CVR'!$N$4:$N$12</c:f>
              <c:strCache>
                <c:ptCount val="9"/>
                <c:pt idx="0">
                  <c:v>Land</c:v>
                </c:pt>
                <c:pt idx="1">
                  <c:v>Fees</c:v>
                </c:pt>
                <c:pt idx="2">
                  <c:v>Prelims</c:v>
                </c:pt>
                <c:pt idx="3">
                  <c:v>R&amp;S</c:v>
                </c:pt>
                <c:pt idx="4">
                  <c:v>Plot</c:v>
                </c:pt>
                <c:pt idx="5">
                  <c:v>Super-Structure</c:v>
                </c:pt>
                <c:pt idx="6">
                  <c:v>Abnormals</c:v>
                </c:pt>
                <c:pt idx="7">
                  <c:v>Contributions</c:v>
                </c:pt>
                <c:pt idx="8">
                  <c:v>Sales</c:v>
                </c:pt>
              </c:strCache>
            </c:strRef>
          </c:cat>
          <c:val>
            <c:numRef>
              <c:f>'Expected CVR'!$P$4:$P$12</c:f>
              <c:numCache>
                <c:formatCode>\£#,##0;[Red]\(\£#,##0\);\-</c:formatCode>
                <c:ptCount val="9"/>
                <c:pt idx="0">
                  <c:v>1760000</c:v>
                </c:pt>
                <c:pt idx="1">
                  <c:v>522000</c:v>
                </c:pt>
                <c:pt idx="2">
                  <c:v>506500</c:v>
                </c:pt>
                <c:pt idx="3">
                  <c:v>535000</c:v>
                </c:pt>
                <c:pt idx="4">
                  <c:v>855000</c:v>
                </c:pt>
                <c:pt idx="5">
                  <c:v>2967500</c:v>
                </c:pt>
                <c:pt idx="6">
                  <c:v>418000</c:v>
                </c:pt>
                <c:pt idx="7">
                  <c:v>275000</c:v>
                </c:pt>
                <c:pt idx="8">
                  <c:v>276000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B-4519-A593-36E017FE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;[Red]\(\£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13</xdr:row>
      <xdr:rowOff>0</xdr:rowOff>
    </xdr:from>
    <xdr:to>
      <xdr:col>22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/>
  </sheetViews>
  <sheetFormatPr defaultRowHeight="14.25"/>
  <cols>
    <col min="1" max="1" width="28" customWidth="1"/>
    <col min="2" max="2" width="95" customWidth="1"/>
  </cols>
  <sheetData>
    <row r="1" spans="1:10" ht="27.9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15">
      <c r="A3" s="1" t="s">
        <v>1</v>
      </c>
      <c r="B3" s="2" t="s">
        <v>2</v>
      </c>
    </row>
    <row r="4" spans="1:10" ht="15">
      <c r="A4" s="1" t="s">
        <v>3</v>
      </c>
      <c r="B4" s="2" t="s">
        <v>4</v>
      </c>
    </row>
    <row r="5" spans="1:10" ht="15">
      <c r="A5" s="1" t="s">
        <v>5</v>
      </c>
      <c r="B5" s="2" t="s">
        <v>6</v>
      </c>
    </row>
    <row r="6" spans="1:10" ht="15">
      <c r="A6" s="1" t="s">
        <v>7</v>
      </c>
      <c r="B6" s="2" t="s">
        <v>8</v>
      </c>
    </row>
    <row r="7" spans="1:10" ht="15">
      <c r="A7" s="1" t="s">
        <v>9</v>
      </c>
      <c r="B7" s="2" t="s">
        <v>10</v>
      </c>
    </row>
    <row r="8" spans="1:10" ht="29.25">
      <c r="A8" s="1" t="s">
        <v>11</v>
      </c>
      <c r="B8" s="2" t="s">
        <v>12</v>
      </c>
    </row>
    <row r="9" spans="1:10" ht="15">
      <c r="A9" s="1" t="s">
        <v>13</v>
      </c>
      <c r="B9" s="2" t="s">
        <v>14</v>
      </c>
    </row>
    <row r="10" spans="1:10" ht="15">
      <c r="A10" s="1" t="s">
        <v>15</v>
      </c>
      <c r="B10" s="2" t="s">
        <v>16</v>
      </c>
    </row>
    <row r="11" spans="1:10" ht="15">
      <c r="A11" s="1" t="s">
        <v>17</v>
      </c>
      <c r="B11" s="2" t="s">
        <v>18</v>
      </c>
    </row>
    <row r="12" spans="1:10" ht="15">
      <c r="A12" s="1" t="s">
        <v>19</v>
      </c>
      <c r="B12" s="2" t="s">
        <v>20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RowHeight="14.25"/>
  <cols>
    <col min="1" max="1" width="25" customWidth="1"/>
    <col min="2" max="2" width="50" customWidth="1"/>
    <col min="3" max="5" width="16" customWidth="1"/>
  </cols>
  <sheetData>
    <row r="1" spans="1:8" ht="27.95" customHeight="1">
      <c r="A1" s="16" t="s">
        <v>21</v>
      </c>
      <c r="B1" s="16"/>
      <c r="C1" s="16"/>
      <c r="D1" s="16"/>
      <c r="E1" s="16"/>
      <c r="F1" s="16"/>
      <c r="G1" s="16"/>
      <c r="H1" s="16"/>
    </row>
    <row r="3" spans="1:8" ht="15">
      <c r="A3" s="3" t="s">
        <v>22</v>
      </c>
      <c r="B3" s="3" t="s">
        <v>23</v>
      </c>
    </row>
    <row r="4" spans="1:8">
      <c r="A4" t="s">
        <v>5</v>
      </c>
      <c r="B4" s="4" t="s">
        <v>24</v>
      </c>
    </row>
    <row r="5" spans="1:8">
      <c r="A5" t="s">
        <v>25</v>
      </c>
      <c r="B5" s="4" t="s">
        <v>26</v>
      </c>
    </row>
    <row r="6" spans="1:8">
      <c r="A6" t="s">
        <v>27</v>
      </c>
      <c r="B6" s="4" t="s">
        <v>28</v>
      </c>
    </row>
    <row r="7" spans="1:8">
      <c r="A7" t="s">
        <v>29</v>
      </c>
      <c r="B7" s="4">
        <v>24</v>
      </c>
    </row>
    <row r="8" spans="1:8">
      <c r="A8" t="s">
        <v>30</v>
      </c>
      <c r="B8" s="4">
        <v>24</v>
      </c>
    </row>
    <row r="9" spans="1:8">
      <c r="A9" t="s">
        <v>31</v>
      </c>
      <c r="B9" s="4">
        <v>0</v>
      </c>
    </row>
    <row r="10" spans="1:8">
      <c r="A10" t="s">
        <v>32</v>
      </c>
      <c r="B10" s="5">
        <v>46113</v>
      </c>
    </row>
    <row r="11" spans="1:8">
      <c r="A11" t="s">
        <v>33</v>
      </c>
      <c r="B11" s="5">
        <v>46660</v>
      </c>
    </row>
    <row r="12" spans="1:8">
      <c r="A12" t="s">
        <v>34</v>
      </c>
      <c r="B12" s="5">
        <v>46326</v>
      </c>
    </row>
    <row r="13" spans="1:8">
      <c r="A13" t="s">
        <v>35</v>
      </c>
      <c r="B13" s="6">
        <v>8341500</v>
      </c>
    </row>
    <row r="14" spans="1:8">
      <c r="A14" t="s">
        <v>1</v>
      </c>
      <c r="B14" s="4" t="s">
        <v>36</v>
      </c>
    </row>
    <row r="16" spans="1:8" ht="15">
      <c r="A16" s="3" t="s">
        <v>37</v>
      </c>
      <c r="B16" s="3" t="s">
        <v>38</v>
      </c>
      <c r="C16" s="3" t="s">
        <v>39</v>
      </c>
      <c r="D16" s="3" t="s">
        <v>40</v>
      </c>
      <c r="E16" s="3" t="s">
        <v>41</v>
      </c>
    </row>
    <row r="17" spans="1:5">
      <c r="A17" t="s">
        <v>42</v>
      </c>
      <c r="B17" t="s">
        <v>43</v>
      </c>
      <c r="C17">
        <v>750</v>
      </c>
      <c r="D17" t="s">
        <v>44</v>
      </c>
      <c r="E17">
        <v>4</v>
      </c>
    </row>
    <row r="18" spans="1:5">
      <c r="A18" t="s">
        <v>45</v>
      </c>
      <c r="B18" t="s">
        <v>46</v>
      </c>
      <c r="C18">
        <v>950</v>
      </c>
      <c r="D18" t="s">
        <v>47</v>
      </c>
      <c r="E18">
        <v>8</v>
      </c>
    </row>
    <row r="19" spans="1:5">
      <c r="A19" t="s">
        <v>48</v>
      </c>
      <c r="B19" t="s">
        <v>46</v>
      </c>
      <c r="C19">
        <v>1050</v>
      </c>
      <c r="D19" t="s">
        <v>49</v>
      </c>
      <c r="E19">
        <v>6</v>
      </c>
    </row>
    <row r="20" spans="1:5">
      <c r="A20" t="s">
        <v>50</v>
      </c>
      <c r="B20" t="s">
        <v>51</v>
      </c>
      <c r="C20">
        <v>1350</v>
      </c>
      <c r="D20" t="s">
        <v>52</v>
      </c>
      <c r="E20">
        <v>6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3"/>
  <sheetViews>
    <sheetView workbookViewId="0"/>
  </sheetViews>
  <sheetFormatPr defaultRowHeight="14.25"/>
  <cols>
    <col min="1" max="1" width="12" customWidth="1"/>
    <col min="2" max="2" width="18" customWidth="1"/>
    <col min="3" max="3" width="16" customWidth="1"/>
    <col min="4" max="4" width="44" customWidth="1"/>
    <col min="5" max="5" width="17" customWidth="1"/>
    <col min="6" max="6" width="18" customWidth="1"/>
    <col min="7" max="7" width="42" customWidth="1"/>
  </cols>
  <sheetData>
    <row r="1" spans="1:7" ht="27.95" customHeight="1">
      <c r="A1" s="16" t="s">
        <v>53</v>
      </c>
      <c r="B1" s="16"/>
      <c r="C1" s="16"/>
      <c r="D1" s="16"/>
      <c r="E1" s="16"/>
      <c r="F1" s="16"/>
      <c r="G1" s="16"/>
    </row>
    <row r="3" spans="1:7" ht="30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</row>
    <row r="4" spans="1:7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6">
        <v>1650000</v>
      </c>
      <c r="G4" t="s">
        <v>66</v>
      </c>
    </row>
    <row r="5" spans="1:7">
      <c r="A5" s="4" t="s">
        <v>67</v>
      </c>
      <c r="B5" s="4" t="s">
        <v>62</v>
      </c>
      <c r="C5" s="4" t="s">
        <v>68</v>
      </c>
      <c r="D5" s="4" t="s">
        <v>69</v>
      </c>
      <c r="E5" s="4" t="s">
        <v>70</v>
      </c>
      <c r="F5" s="6">
        <v>0</v>
      </c>
      <c r="G5" t="s">
        <v>66</v>
      </c>
    </row>
    <row r="6" spans="1:7">
      <c r="A6" s="4" t="s">
        <v>71</v>
      </c>
      <c r="B6" s="4" t="s">
        <v>62</v>
      </c>
      <c r="C6" s="4" t="s">
        <v>68</v>
      </c>
      <c r="D6" s="4" t="s">
        <v>72</v>
      </c>
      <c r="E6" s="4" t="s">
        <v>65</v>
      </c>
      <c r="F6" s="6">
        <v>85000</v>
      </c>
      <c r="G6" t="s">
        <v>66</v>
      </c>
    </row>
    <row r="7" spans="1:7">
      <c r="A7" s="4" t="s">
        <v>73</v>
      </c>
      <c r="B7" s="4" t="s">
        <v>62</v>
      </c>
      <c r="C7" s="4" t="s">
        <v>74</v>
      </c>
      <c r="D7" s="4" t="s">
        <v>75</v>
      </c>
      <c r="E7" s="4" t="s">
        <v>65</v>
      </c>
      <c r="F7" s="6">
        <v>25000</v>
      </c>
      <c r="G7" t="s">
        <v>66</v>
      </c>
    </row>
    <row r="8" spans="1:7">
      <c r="A8" s="4" t="s">
        <v>76</v>
      </c>
      <c r="B8" s="4" t="s">
        <v>62</v>
      </c>
      <c r="C8" s="4" t="s">
        <v>74</v>
      </c>
      <c r="D8" s="4" t="s">
        <v>77</v>
      </c>
      <c r="E8" s="4" t="s">
        <v>70</v>
      </c>
      <c r="F8" s="6">
        <v>0</v>
      </c>
      <c r="G8" t="s">
        <v>66</v>
      </c>
    </row>
    <row r="9" spans="1:7">
      <c r="A9" s="4" t="s">
        <v>78</v>
      </c>
      <c r="B9" s="4" t="s">
        <v>62</v>
      </c>
      <c r="C9" s="4" t="s">
        <v>74</v>
      </c>
      <c r="D9" s="4" t="s">
        <v>79</v>
      </c>
      <c r="E9" s="4" t="s">
        <v>70</v>
      </c>
      <c r="F9" s="6">
        <v>0</v>
      </c>
      <c r="G9" t="s">
        <v>66</v>
      </c>
    </row>
    <row r="10" spans="1:7">
      <c r="A10" s="4" t="s">
        <v>80</v>
      </c>
      <c r="B10" s="4" t="s">
        <v>62</v>
      </c>
      <c r="C10" s="4" t="s">
        <v>63</v>
      </c>
      <c r="D10" s="4" t="s">
        <v>81</v>
      </c>
      <c r="E10" s="4" t="s">
        <v>70</v>
      </c>
      <c r="F10" s="6">
        <v>0</v>
      </c>
      <c r="G10" t="s">
        <v>66</v>
      </c>
    </row>
    <row r="11" spans="1:7">
      <c r="A11" s="4" t="s">
        <v>82</v>
      </c>
      <c r="B11" s="4" t="s">
        <v>83</v>
      </c>
      <c r="C11" s="4" t="s">
        <v>74</v>
      </c>
      <c r="D11" s="4" t="s">
        <v>84</v>
      </c>
      <c r="E11" s="4" t="s">
        <v>65</v>
      </c>
      <c r="F11" s="6">
        <v>35000</v>
      </c>
      <c r="G11" t="s">
        <v>66</v>
      </c>
    </row>
    <row r="12" spans="1:7">
      <c r="A12" s="4" t="s">
        <v>85</v>
      </c>
      <c r="B12" s="4" t="s">
        <v>83</v>
      </c>
      <c r="C12" s="4" t="s">
        <v>74</v>
      </c>
      <c r="D12" s="4" t="s">
        <v>86</v>
      </c>
      <c r="E12" s="4" t="s">
        <v>65</v>
      </c>
      <c r="F12" s="6">
        <v>25000</v>
      </c>
      <c r="G12" t="s">
        <v>66</v>
      </c>
    </row>
    <row r="13" spans="1:7">
      <c r="A13" s="4" t="s">
        <v>87</v>
      </c>
      <c r="B13" s="4" t="s">
        <v>83</v>
      </c>
      <c r="C13" s="4" t="s">
        <v>74</v>
      </c>
      <c r="D13" s="4" t="s">
        <v>88</v>
      </c>
      <c r="E13" s="4" t="s">
        <v>65</v>
      </c>
      <c r="F13" s="6">
        <v>15000</v>
      </c>
      <c r="G13" t="s">
        <v>66</v>
      </c>
    </row>
    <row r="14" spans="1:7">
      <c r="A14" s="4" t="s">
        <v>89</v>
      </c>
      <c r="B14" s="4" t="s">
        <v>83</v>
      </c>
      <c r="C14" s="4" t="s">
        <v>74</v>
      </c>
      <c r="D14" s="4" t="s">
        <v>90</v>
      </c>
      <c r="E14" s="4" t="s">
        <v>65</v>
      </c>
      <c r="F14" s="6">
        <v>20000</v>
      </c>
      <c r="G14" t="s">
        <v>66</v>
      </c>
    </row>
    <row r="15" spans="1:7">
      <c r="A15" s="4" t="s">
        <v>91</v>
      </c>
      <c r="B15" s="4" t="s">
        <v>83</v>
      </c>
      <c r="C15" s="4" t="s">
        <v>74</v>
      </c>
      <c r="D15" s="4" t="s">
        <v>92</v>
      </c>
      <c r="E15" s="4" t="s">
        <v>65</v>
      </c>
      <c r="F15" s="6">
        <v>40000</v>
      </c>
      <c r="G15" t="s">
        <v>66</v>
      </c>
    </row>
    <row r="16" spans="1:7">
      <c r="A16" s="4" t="s">
        <v>93</v>
      </c>
      <c r="B16" s="4" t="s">
        <v>83</v>
      </c>
      <c r="C16" s="4" t="s">
        <v>74</v>
      </c>
      <c r="D16" s="4" t="s">
        <v>94</v>
      </c>
      <c r="E16" s="4" t="s">
        <v>65</v>
      </c>
      <c r="F16" s="6">
        <v>55000</v>
      </c>
      <c r="G16" t="s">
        <v>66</v>
      </c>
    </row>
    <row r="17" spans="1:7">
      <c r="A17" s="4" t="s">
        <v>95</v>
      </c>
      <c r="B17" s="4" t="s">
        <v>83</v>
      </c>
      <c r="C17" s="4" t="s">
        <v>74</v>
      </c>
      <c r="D17" s="4" t="s">
        <v>96</v>
      </c>
      <c r="E17" s="4" t="s">
        <v>65</v>
      </c>
      <c r="F17" s="6">
        <v>75000</v>
      </c>
      <c r="G17" t="s">
        <v>66</v>
      </c>
    </row>
    <row r="18" spans="1:7">
      <c r="A18" s="4" t="s">
        <v>97</v>
      </c>
      <c r="B18" s="4" t="s">
        <v>83</v>
      </c>
      <c r="C18" s="4" t="s">
        <v>74</v>
      </c>
      <c r="D18" s="4" t="s">
        <v>98</v>
      </c>
      <c r="E18" s="4" t="s">
        <v>65</v>
      </c>
      <c r="F18" s="6">
        <v>20000</v>
      </c>
      <c r="G18" t="s">
        <v>66</v>
      </c>
    </row>
    <row r="19" spans="1:7">
      <c r="A19" s="4" t="s">
        <v>99</v>
      </c>
      <c r="B19" s="4" t="s">
        <v>83</v>
      </c>
      <c r="C19" s="4" t="s">
        <v>74</v>
      </c>
      <c r="D19" s="4" t="s">
        <v>100</v>
      </c>
      <c r="E19" s="4" t="s">
        <v>65</v>
      </c>
      <c r="F19" s="6">
        <v>25000</v>
      </c>
      <c r="G19" t="s">
        <v>66</v>
      </c>
    </row>
    <row r="20" spans="1:7">
      <c r="A20" s="4" t="s">
        <v>101</v>
      </c>
      <c r="B20" s="4" t="s">
        <v>83</v>
      </c>
      <c r="C20" s="4" t="s">
        <v>74</v>
      </c>
      <c r="D20" s="4" t="s">
        <v>102</v>
      </c>
      <c r="E20" s="4" t="s">
        <v>65</v>
      </c>
      <c r="F20" s="6">
        <v>15000</v>
      </c>
      <c r="G20" t="s">
        <v>66</v>
      </c>
    </row>
    <row r="21" spans="1:7">
      <c r="A21" s="4" t="s">
        <v>103</v>
      </c>
      <c r="B21" s="4" t="s">
        <v>83</v>
      </c>
      <c r="C21" s="4" t="s">
        <v>74</v>
      </c>
      <c r="D21" s="4" t="s">
        <v>104</v>
      </c>
      <c r="E21" s="4" t="s">
        <v>70</v>
      </c>
      <c r="F21" s="6">
        <v>0</v>
      </c>
      <c r="G21" t="s">
        <v>66</v>
      </c>
    </row>
    <row r="22" spans="1:7">
      <c r="A22" s="4" t="s">
        <v>105</v>
      </c>
      <c r="B22" s="4" t="s">
        <v>83</v>
      </c>
      <c r="C22" s="4" t="s">
        <v>74</v>
      </c>
      <c r="D22" s="4" t="s">
        <v>106</v>
      </c>
      <c r="E22" s="4" t="s">
        <v>65</v>
      </c>
      <c r="F22" s="6">
        <v>20000</v>
      </c>
      <c r="G22" t="s">
        <v>66</v>
      </c>
    </row>
    <row r="23" spans="1:7">
      <c r="A23" s="4" t="s">
        <v>107</v>
      </c>
      <c r="B23" s="4" t="s">
        <v>83</v>
      </c>
      <c r="C23" s="4" t="s">
        <v>74</v>
      </c>
      <c r="D23" s="4" t="s">
        <v>108</v>
      </c>
      <c r="E23" s="4" t="s">
        <v>65</v>
      </c>
      <c r="F23" s="6">
        <v>15000</v>
      </c>
      <c r="G23" t="s">
        <v>66</v>
      </c>
    </row>
    <row r="24" spans="1:7">
      <c r="A24" s="4" t="s">
        <v>109</v>
      </c>
      <c r="B24" s="4" t="s">
        <v>83</v>
      </c>
      <c r="C24" s="4" t="s">
        <v>74</v>
      </c>
      <c r="D24" s="4" t="s">
        <v>110</v>
      </c>
      <c r="E24" s="4" t="s">
        <v>65</v>
      </c>
      <c r="F24" s="6">
        <v>10000</v>
      </c>
      <c r="G24" t="s">
        <v>66</v>
      </c>
    </row>
    <row r="25" spans="1:7">
      <c r="A25" s="4" t="s">
        <v>111</v>
      </c>
      <c r="B25" s="4" t="s">
        <v>83</v>
      </c>
      <c r="C25" s="4" t="s">
        <v>112</v>
      </c>
      <c r="D25" s="4" t="s">
        <v>113</v>
      </c>
      <c r="E25" s="4" t="s">
        <v>65</v>
      </c>
      <c r="F25" s="6">
        <v>18000</v>
      </c>
      <c r="G25" t="s">
        <v>66</v>
      </c>
    </row>
    <row r="26" spans="1:7">
      <c r="A26" s="4" t="s">
        <v>114</v>
      </c>
      <c r="B26" s="4" t="s">
        <v>83</v>
      </c>
      <c r="C26" s="4" t="s">
        <v>112</v>
      </c>
      <c r="D26" s="4" t="s">
        <v>115</v>
      </c>
      <c r="E26" s="4" t="s">
        <v>65</v>
      </c>
      <c r="F26" s="6">
        <v>22000</v>
      </c>
      <c r="G26" t="s">
        <v>66</v>
      </c>
    </row>
    <row r="27" spans="1:7">
      <c r="A27" s="4" t="s">
        <v>116</v>
      </c>
      <c r="B27" s="4" t="s">
        <v>83</v>
      </c>
      <c r="C27" s="4" t="s">
        <v>112</v>
      </c>
      <c r="D27" s="4" t="s">
        <v>117</v>
      </c>
      <c r="E27" s="4" t="s">
        <v>65</v>
      </c>
      <c r="F27" s="6">
        <v>12000</v>
      </c>
      <c r="G27" t="s">
        <v>66</v>
      </c>
    </row>
    <row r="28" spans="1:7">
      <c r="A28" s="4" t="s">
        <v>118</v>
      </c>
      <c r="B28" s="4" t="s">
        <v>83</v>
      </c>
      <c r="C28" s="4" t="s">
        <v>112</v>
      </c>
      <c r="D28" s="4" t="s">
        <v>119</v>
      </c>
      <c r="E28" s="4" t="s">
        <v>65</v>
      </c>
      <c r="F28" s="6">
        <v>22000</v>
      </c>
      <c r="G28" t="s">
        <v>66</v>
      </c>
    </row>
    <row r="29" spans="1:7">
      <c r="A29" s="4" t="s">
        <v>120</v>
      </c>
      <c r="B29" s="4" t="s">
        <v>83</v>
      </c>
      <c r="C29" s="4" t="s">
        <v>112</v>
      </c>
      <c r="D29" s="4" t="s">
        <v>121</v>
      </c>
      <c r="E29" s="4" t="s">
        <v>70</v>
      </c>
      <c r="F29" s="6">
        <v>0</v>
      </c>
      <c r="G29" t="s">
        <v>66</v>
      </c>
    </row>
    <row r="30" spans="1:7">
      <c r="A30" s="4" t="s">
        <v>122</v>
      </c>
      <c r="B30" s="4" t="s">
        <v>83</v>
      </c>
      <c r="C30" s="4" t="s">
        <v>74</v>
      </c>
      <c r="D30" s="4" t="s">
        <v>123</v>
      </c>
      <c r="E30" s="4" t="s">
        <v>65</v>
      </c>
      <c r="F30" s="6">
        <v>10000</v>
      </c>
      <c r="G30" t="s">
        <v>66</v>
      </c>
    </row>
    <row r="31" spans="1:7">
      <c r="A31" s="4" t="s">
        <v>124</v>
      </c>
      <c r="B31" s="4" t="s">
        <v>83</v>
      </c>
      <c r="C31" s="4" t="s">
        <v>74</v>
      </c>
      <c r="D31" s="4" t="s">
        <v>125</v>
      </c>
      <c r="E31" s="4" t="s">
        <v>65</v>
      </c>
      <c r="F31" s="6">
        <v>7500</v>
      </c>
      <c r="G31" t="s">
        <v>66</v>
      </c>
    </row>
    <row r="32" spans="1:7">
      <c r="A32" s="4" t="s">
        <v>126</v>
      </c>
      <c r="B32" s="4" t="s">
        <v>83</v>
      </c>
      <c r="C32" s="4" t="s">
        <v>74</v>
      </c>
      <c r="D32" s="4" t="s">
        <v>127</v>
      </c>
      <c r="E32" s="4" t="s">
        <v>65</v>
      </c>
      <c r="F32" s="6">
        <v>48000</v>
      </c>
      <c r="G32" t="s">
        <v>66</v>
      </c>
    </row>
    <row r="33" spans="1:7">
      <c r="A33" s="4" t="s">
        <v>128</v>
      </c>
      <c r="B33" s="4" t="s">
        <v>83</v>
      </c>
      <c r="C33" s="4" t="s">
        <v>129</v>
      </c>
      <c r="D33" s="4" t="s">
        <v>130</v>
      </c>
      <c r="E33" s="4" t="s">
        <v>70</v>
      </c>
      <c r="F33" s="6">
        <v>0</v>
      </c>
      <c r="G33" t="s">
        <v>66</v>
      </c>
    </row>
    <row r="34" spans="1:7">
      <c r="A34" s="4" t="s">
        <v>131</v>
      </c>
      <c r="B34" s="4" t="s">
        <v>83</v>
      </c>
      <c r="C34" s="4" t="s">
        <v>74</v>
      </c>
      <c r="D34" s="4" t="s">
        <v>132</v>
      </c>
      <c r="E34" s="4" t="s">
        <v>65</v>
      </c>
      <c r="F34" s="6">
        <v>12500</v>
      </c>
      <c r="G34" t="s">
        <v>66</v>
      </c>
    </row>
    <row r="35" spans="1:7">
      <c r="A35" s="4" t="s">
        <v>133</v>
      </c>
      <c r="B35" s="4" t="s">
        <v>134</v>
      </c>
      <c r="C35" s="4" t="s">
        <v>135</v>
      </c>
      <c r="D35" s="4" t="s">
        <v>136</v>
      </c>
      <c r="E35" s="4" t="s">
        <v>65</v>
      </c>
      <c r="F35" s="6">
        <v>95000</v>
      </c>
      <c r="G35" t="s">
        <v>66</v>
      </c>
    </row>
    <row r="36" spans="1:7">
      <c r="A36" s="4" t="s">
        <v>137</v>
      </c>
      <c r="B36" s="4" t="s">
        <v>134</v>
      </c>
      <c r="C36" s="4" t="s">
        <v>135</v>
      </c>
      <c r="D36" s="4" t="s">
        <v>138</v>
      </c>
      <c r="E36" s="4" t="s">
        <v>65</v>
      </c>
      <c r="F36" s="6">
        <v>55000</v>
      </c>
      <c r="G36" t="s">
        <v>66</v>
      </c>
    </row>
    <row r="37" spans="1:7">
      <c r="A37" s="4" t="s">
        <v>139</v>
      </c>
      <c r="B37" s="4" t="s">
        <v>134</v>
      </c>
      <c r="C37" s="4" t="s">
        <v>135</v>
      </c>
      <c r="D37" s="4" t="s">
        <v>140</v>
      </c>
      <c r="E37" s="4" t="s">
        <v>65</v>
      </c>
      <c r="F37" s="6">
        <v>12000</v>
      </c>
      <c r="G37" t="s">
        <v>66</v>
      </c>
    </row>
    <row r="38" spans="1:7">
      <c r="A38" s="4" t="s">
        <v>141</v>
      </c>
      <c r="B38" s="4" t="s">
        <v>134</v>
      </c>
      <c r="C38" s="4" t="s">
        <v>135</v>
      </c>
      <c r="D38" s="4" t="s">
        <v>142</v>
      </c>
      <c r="E38" s="4" t="s">
        <v>70</v>
      </c>
      <c r="F38" s="6">
        <v>0</v>
      </c>
      <c r="G38" t="s">
        <v>66</v>
      </c>
    </row>
    <row r="39" spans="1:7">
      <c r="A39" s="4" t="s">
        <v>143</v>
      </c>
      <c r="B39" s="4" t="s">
        <v>134</v>
      </c>
      <c r="C39" s="4" t="s">
        <v>135</v>
      </c>
      <c r="D39" s="4" t="s">
        <v>144</v>
      </c>
      <c r="E39" s="4" t="s">
        <v>65</v>
      </c>
      <c r="F39" s="6">
        <v>18000</v>
      </c>
      <c r="G39" t="s">
        <v>66</v>
      </c>
    </row>
    <row r="40" spans="1:7">
      <c r="A40" s="4" t="s">
        <v>145</v>
      </c>
      <c r="B40" s="4" t="s">
        <v>134</v>
      </c>
      <c r="C40" s="4" t="s">
        <v>135</v>
      </c>
      <c r="D40" s="4" t="s">
        <v>146</v>
      </c>
      <c r="E40" s="4" t="s">
        <v>65</v>
      </c>
      <c r="F40" s="6">
        <v>9000</v>
      </c>
      <c r="G40" t="s">
        <v>66</v>
      </c>
    </row>
    <row r="41" spans="1:7">
      <c r="A41" s="4" t="s">
        <v>147</v>
      </c>
      <c r="B41" s="4" t="s">
        <v>134</v>
      </c>
      <c r="C41" s="4" t="s">
        <v>135</v>
      </c>
      <c r="D41" s="4" t="s">
        <v>148</v>
      </c>
      <c r="E41" s="4" t="s">
        <v>70</v>
      </c>
      <c r="F41" s="6">
        <v>0</v>
      </c>
      <c r="G41" t="s">
        <v>66</v>
      </c>
    </row>
    <row r="42" spans="1:7">
      <c r="A42" s="4" t="s">
        <v>149</v>
      </c>
      <c r="B42" s="4" t="s">
        <v>134</v>
      </c>
      <c r="C42" s="4" t="s">
        <v>150</v>
      </c>
      <c r="D42" s="4" t="s">
        <v>151</v>
      </c>
      <c r="E42" s="4" t="s">
        <v>65</v>
      </c>
      <c r="F42" s="6">
        <v>36000</v>
      </c>
      <c r="G42" t="s">
        <v>66</v>
      </c>
    </row>
    <row r="43" spans="1:7">
      <c r="A43" s="4" t="s">
        <v>152</v>
      </c>
      <c r="B43" s="4" t="s">
        <v>134</v>
      </c>
      <c r="C43" s="4" t="s">
        <v>135</v>
      </c>
      <c r="D43" s="4" t="s">
        <v>153</v>
      </c>
      <c r="E43" s="4" t="s">
        <v>70</v>
      </c>
      <c r="F43" s="6">
        <v>0</v>
      </c>
      <c r="G43" t="s">
        <v>66</v>
      </c>
    </row>
    <row r="44" spans="1:7">
      <c r="A44" s="4" t="s">
        <v>154</v>
      </c>
      <c r="B44" s="4" t="s">
        <v>134</v>
      </c>
      <c r="C44" s="4" t="s">
        <v>150</v>
      </c>
      <c r="D44" s="4" t="s">
        <v>155</v>
      </c>
      <c r="E44" s="4" t="s">
        <v>65</v>
      </c>
      <c r="F44" s="6">
        <v>30000</v>
      </c>
      <c r="G44" t="s">
        <v>66</v>
      </c>
    </row>
    <row r="45" spans="1:7">
      <c r="A45" s="4" t="s">
        <v>156</v>
      </c>
      <c r="B45" s="4" t="s">
        <v>134</v>
      </c>
      <c r="C45" s="4" t="s">
        <v>150</v>
      </c>
      <c r="D45" s="4" t="s">
        <v>157</v>
      </c>
      <c r="E45" s="4" t="s">
        <v>70</v>
      </c>
      <c r="F45" s="6">
        <v>0</v>
      </c>
      <c r="G45" t="s">
        <v>66</v>
      </c>
    </row>
    <row r="46" spans="1:7">
      <c r="A46" s="4" t="s">
        <v>158</v>
      </c>
      <c r="B46" s="4" t="s">
        <v>134</v>
      </c>
      <c r="C46" s="4" t="s">
        <v>159</v>
      </c>
      <c r="D46" s="4" t="s">
        <v>160</v>
      </c>
      <c r="E46" s="4" t="s">
        <v>65</v>
      </c>
      <c r="F46" s="6">
        <v>20000</v>
      </c>
      <c r="G46" t="s">
        <v>66</v>
      </c>
    </row>
    <row r="47" spans="1:7">
      <c r="A47" s="4" t="s">
        <v>161</v>
      </c>
      <c r="B47" s="4" t="s">
        <v>134</v>
      </c>
      <c r="C47" s="4" t="s">
        <v>162</v>
      </c>
      <c r="D47" s="4" t="s">
        <v>163</v>
      </c>
      <c r="E47" s="4" t="s">
        <v>65</v>
      </c>
      <c r="F47" s="6">
        <v>34000</v>
      </c>
      <c r="G47" t="s">
        <v>66</v>
      </c>
    </row>
    <row r="48" spans="1:7">
      <c r="A48" s="4" t="s">
        <v>164</v>
      </c>
      <c r="B48" s="4" t="s">
        <v>134</v>
      </c>
      <c r="C48" s="4" t="s">
        <v>162</v>
      </c>
      <c r="D48" s="4" t="s">
        <v>165</v>
      </c>
      <c r="E48" s="4" t="s">
        <v>70</v>
      </c>
      <c r="F48" s="6">
        <v>0</v>
      </c>
      <c r="G48" t="s">
        <v>66</v>
      </c>
    </row>
    <row r="49" spans="1:7">
      <c r="A49" s="4" t="s">
        <v>166</v>
      </c>
      <c r="B49" s="4" t="s">
        <v>134</v>
      </c>
      <c r="C49" s="4" t="s">
        <v>162</v>
      </c>
      <c r="D49" s="4" t="s">
        <v>167</v>
      </c>
      <c r="E49" s="4" t="s">
        <v>65</v>
      </c>
      <c r="F49" s="6">
        <v>28000</v>
      </c>
      <c r="G49" t="s">
        <v>66</v>
      </c>
    </row>
    <row r="50" spans="1:7">
      <c r="A50" s="4" t="s">
        <v>168</v>
      </c>
      <c r="B50" s="4" t="s">
        <v>134</v>
      </c>
      <c r="C50" s="4" t="s">
        <v>162</v>
      </c>
      <c r="D50" s="4" t="s">
        <v>169</v>
      </c>
      <c r="E50" s="4" t="s">
        <v>65</v>
      </c>
      <c r="F50" s="6">
        <v>18000</v>
      </c>
      <c r="G50" t="s">
        <v>66</v>
      </c>
    </row>
    <row r="51" spans="1:7">
      <c r="A51" s="4" t="s">
        <v>170</v>
      </c>
      <c r="B51" s="4" t="s">
        <v>134</v>
      </c>
      <c r="C51" s="4" t="s">
        <v>162</v>
      </c>
      <c r="D51" s="4" t="s">
        <v>171</v>
      </c>
      <c r="E51" s="4" t="s">
        <v>65</v>
      </c>
      <c r="F51" s="6">
        <v>10000</v>
      </c>
      <c r="G51" t="s">
        <v>66</v>
      </c>
    </row>
    <row r="52" spans="1:7">
      <c r="A52" s="4" t="s">
        <v>172</v>
      </c>
      <c r="B52" s="4" t="s">
        <v>134</v>
      </c>
      <c r="C52" s="4" t="s">
        <v>162</v>
      </c>
      <c r="D52" s="4" t="s">
        <v>173</v>
      </c>
      <c r="E52" s="4" t="s">
        <v>70</v>
      </c>
      <c r="F52" s="6">
        <v>0</v>
      </c>
      <c r="G52" t="s">
        <v>66</v>
      </c>
    </row>
    <row r="53" spans="1:7">
      <c r="A53" s="4" t="s">
        <v>174</v>
      </c>
      <c r="B53" s="4" t="s">
        <v>134</v>
      </c>
      <c r="C53" s="4" t="s">
        <v>175</v>
      </c>
      <c r="D53" s="4" t="s">
        <v>176</v>
      </c>
      <c r="E53" s="4" t="s">
        <v>65</v>
      </c>
      <c r="F53" s="6">
        <v>22000</v>
      </c>
      <c r="G53" t="s">
        <v>66</v>
      </c>
    </row>
    <row r="54" spans="1:7">
      <c r="A54" s="4" t="s">
        <v>177</v>
      </c>
      <c r="B54" s="4" t="s">
        <v>134</v>
      </c>
      <c r="C54" s="4" t="s">
        <v>159</v>
      </c>
      <c r="D54" s="4" t="s">
        <v>178</v>
      </c>
      <c r="E54" s="4" t="s">
        <v>70</v>
      </c>
      <c r="F54" s="6">
        <v>0</v>
      </c>
      <c r="G54" t="s">
        <v>66</v>
      </c>
    </row>
    <row r="55" spans="1:7">
      <c r="A55" s="4" t="s">
        <v>179</v>
      </c>
      <c r="B55" s="4" t="s">
        <v>134</v>
      </c>
      <c r="C55" s="4" t="s">
        <v>180</v>
      </c>
      <c r="D55" s="4" t="s">
        <v>181</v>
      </c>
      <c r="E55" s="4" t="s">
        <v>65</v>
      </c>
      <c r="F55" s="6">
        <v>18000</v>
      </c>
      <c r="G55" t="s">
        <v>66</v>
      </c>
    </row>
    <row r="56" spans="1:7">
      <c r="A56" s="4" t="s">
        <v>182</v>
      </c>
      <c r="B56" s="4" t="s">
        <v>134</v>
      </c>
      <c r="C56" s="4" t="s">
        <v>180</v>
      </c>
      <c r="D56" s="4" t="s">
        <v>183</v>
      </c>
      <c r="E56" s="4" t="s">
        <v>65</v>
      </c>
      <c r="F56" s="6">
        <v>7500</v>
      </c>
      <c r="G56" t="s">
        <v>66</v>
      </c>
    </row>
    <row r="57" spans="1:7">
      <c r="A57" s="4" t="s">
        <v>184</v>
      </c>
      <c r="B57" s="4" t="s">
        <v>134</v>
      </c>
      <c r="C57" s="4" t="s">
        <v>180</v>
      </c>
      <c r="D57" s="4" t="s">
        <v>185</v>
      </c>
      <c r="E57" s="4" t="s">
        <v>70</v>
      </c>
      <c r="F57" s="6">
        <v>0</v>
      </c>
      <c r="G57" t="s">
        <v>66</v>
      </c>
    </row>
    <row r="58" spans="1:7">
      <c r="A58" s="4" t="s">
        <v>186</v>
      </c>
      <c r="B58" s="4" t="s">
        <v>134</v>
      </c>
      <c r="C58" s="4" t="s">
        <v>180</v>
      </c>
      <c r="D58" s="4" t="s">
        <v>187</v>
      </c>
      <c r="E58" s="4" t="s">
        <v>70</v>
      </c>
      <c r="F58" s="6">
        <v>0</v>
      </c>
      <c r="G58" t="s">
        <v>66</v>
      </c>
    </row>
    <row r="59" spans="1:7">
      <c r="A59" s="4" t="s">
        <v>188</v>
      </c>
      <c r="B59" s="4" t="s">
        <v>134</v>
      </c>
      <c r="C59" s="4" t="s">
        <v>162</v>
      </c>
      <c r="D59" s="4" t="s">
        <v>189</v>
      </c>
      <c r="E59" s="4" t="s">
        <v>65</v>
      </c>
      <c r="F59" s="6">
        <v>8000</v>
      </c>
      <c r="G59" t="s">
        <v>66</v>
      </c>
    </row>
    <row r="60" spans="1:7">
      <c r="A60" s="4" t="s">
        <v>190</v>
      </c>
      <c r="B60" s="4" t="s">
        <v>134</v>
      </c>
      <c r="C60" s="4" t="s">
        <v>162</v>
      </c>
      <c r="D60" s="4" t="s">
        <v>191</v>
      </c>
      <c r="E60" s="4" t="s">
        <v>65</v>
      </c>
      <c r="F60" s="6">
        <v>15000</v>
      </c>
      <c r="G60" t="s">
        <v>66</v>
      </c>
    </row>
    <row r="61" spans="1:7">
      <c r="A61" s="4" t="s">
        <v>192</v>
      </c>
      <c r="B61" s="4" t="s">
        <v>134</v>
      </c>
      <c r="C61" s="4" t="s">
        <v>175</v>
      </c>
      <c r="D61" s="4" t="s">
        <v>193</v>
      </c>
      <c r="E61" s="4" t="s">
        <v>70</v>
      </c>
      <c r="F61" s="6">
        <v>0</v>
      </c>
      <c r="G61" t="s">
        <v>66</v>
      </c>
    </row>
    <row r="62" spans="1:7">
      <c r="A62" s="4" t="s">
        <v>194</v>
      </c>
      <c r="B62" s="4" t="s">
        <v>134</v>
      </c>
      <c r="C62" s="4" t="s">
        <v>162</v>
      </c>
      <c r="D62" s="4" t="s">
        <v>195</v>
      </c>
      <c r="E62" s="4" t="s">
        <v>65</v>
      </c>
      <c r="F62" s="6">
        <v>12000</v>
      </c>
      <c r="G62" t="s">
        <v>66</v>
      </c>
    </row>
    <row r="63" spans="1:7">
      <c r="A63" s="4" t="s">
        <v>196</v>
      </c>
      <c r="B63" s="4" t="s">
        <v>134</v>
      </c>
      <c r="C63" s="4" t="s">
        <v>175</v>
      </c>
      <c r="D63" s="4" t="s">
        <v>197</v>
      </c>
      <c r="E63" s="4" t="s">
        <v>70</v>
      </c>
      <c r="F63" s="6">
        <v>0</v>
      </c>
      <c r="G63" t="s">
        <v>66</v>
      </c>
    </row>
    <row r="64" spans="1:7">
      <c r="A64" s="4" t="s">
        <v>198</v>
      </c>
      <c r="B64" s="4" t="s">
        <v>134</v>
      </c>
      <c r="C64" s="4" t="s">
        <v>175</v>
      </c>
      <c r="D64" s="4" t="s">
        <v>199</v>
      </c>
      <c r="E64" s="4" t="s">
        <v>70</v>
      </c>
      <c r="F64" s="6">
        <v>0</v>
      </c>
      <c r="G64" t="s">
        <v>66</v>
      </c>
    </row>
    <row r="65" spans="1:7">
      <c r="A65" s="4" t="s">
        <v>200</v>
      </c>
      <c r="B65" s="4" t="s">
        <v>134</v>
      </c>
      <c r="C65" s="4" t="s">
        <v>175</v>
      </c>
      <c r="D65" s="4" t="s">
        <v>201</v>
      </c>
      <c r="E65" s="4" t="s">
        <v>70</v>
      </c>
      <c r="F65" s="6">
        <v>0</v>
      </c>
      <c r="G65" t="s">
        <v>66</v>
      </c>
    </row>
    <row r="66" spans="1:7">
      <c r="A66" s="4" t="s">
        <v>202</v>
      </c>
      <c r="B66" s="4" t="s">
        <v>134</v>
      </c>
      <c r="C66" s="4" t="s">
        <v>175</v>
      </c>
      <c r="D66" s="4" t="s">
        <v>203</v>
      </c>
      <c r="E66" s="4" t="s">
        <v>65</v>
      </c>
      <c r="F66" s="6">
        <v>10000</v>
      </c>
      <c r="G66" t="s">
        <v>66</v>
      </c>
    </row>
    <row r="67" spans="1:7">
      <c r="A67" s="4" t="s">
        <v>204</v>
      </c>
      <c r="B67" s="4" t="s">
        <v>134</v>
      </c>
      <c r="C67" s="4" t="s">
        <v>175</v>
      </c>
      <c r="D67" s="4" t="s">
        <v>205</v>
      </c>
      <c r="E67" s="4" t="s">
        <v>70</v>
      </c>
      <c r="F67" s="6">
        <v>0</v>
      </c>
      <c r="G67" t="s">
        <v>66</v>
      </c>
    </row>
    <row r="68" spans="1:7">
      <c r="A68" s="4" t="s">
        <v>206</v>
      </c>
      <c r="B68" s="4" t="s">
        <v>134</v>
      </c>
      <c r="C68" s="4" t="s">
        <v>175</v>
      </c>
      <c r="D68" s="4" t="s">
        <v>207</v>
      </c>
      <c r="E68" s="4" t="s">
        <v>65</v>
      </c>
      <c r="F68" s="6">
        <v>14000</v>
      </c>
      <c r="G68" t="s">
        <v>66</v>
      </c>
    </row>
    <row r="69" spans="1:7">
      <c r="A69" s="4" t="s">
        <v>208</v>
      </c>
      <c r="B69" s="4" t="s">
        <v>134</v>
      </c>
      <c r="C69" s="4" t="s">
        <v>162</v>
      </c>
      <c r="D69" s="4" t="s">
        <v>209</v>
      </c>
      <c r="E69" s="4" t="s">
        <v>65</v>
      </c>
      <c r="F69" s="6">
        <v>15000</v>
      </c>
      <c r="G69" t="s">
        <v>66</v>
      </c>
    </row>
    <row r="70" spans="1:7">
      <c r="A70" s="4" t="s">
        <v>210</v>
      </c>
      <c r="B70" s="4" t="s">
        <v>134</v>
      </c>
      <c r="C70" s="4" t="s">
        <v>150</v>
      </c>
      <c r="D70" s="4" t="s">
        <v>211</v>
      </c>
      <c r="E70" s="4" t="s">
        <v>70</v>
      </c>
      <c r="F70" s="6">
        <v>0</v>
      </c>
      <c r="G70" t="s">
        <v>66</v>
      </c>
    </row>
    <row r="71" spans="1:7">
      <c r="A71" s="4" t="s">
        <v>212</v>
      </c>
      <c r="B71" s="4" t="s">
        <v>134</v>
      </c>
      <c r="C71" s="4" t="s">
        <v>213</v>
      </c>
      <c r="D71" s="4" t="s">
        <v>214</v>
      </c>
      <c r="E71" s="4" t="s">
        <v>65</v>
      </c>
      <c r="F71" s="6">
        <v>30000</v>
      </c>
      <c r="G71" t="s">
        <v>66</v>
      </c>
    </row>
    <row r="72" spans="1:7">
      <c r="A72" s="4" t="s">
        <v>215</v>
      </c>
      <c r="B72" s="4" t="s">
        <v>216</v>
      </c>
      <c r="C72" s="4" t="s">
        <v>159</v>
      </c>
      <c r="D72" s="4" t="s">
        <v>217</v>
      </c>
      <c r="E72" s="4" t="s">
        <v>65</v>
      </c>
      <c r="F72" s="6">
        <v>120000</v>
      </c>
      <c r="G72" t="s">
        <v>66</v>
      </c>
    </row>
    <row r="73" spans="1:7">
      <c r="A73" s="4" t="s">
        <v>218</v>
      </c>
      <c r="B73" s="4" t="s">
        <v>216</v>
      </c>
      <c r="C73" s="4" t="s">
        <v>159</v>
      </c>
      <c r="D73" s="4" t="s">
        <v>219</v>
      </c>
      <c r="E73" s="4" t="s">
        <v>65</v>
      </c>
      <c r="F73" s="6">
        <v>35000</v>
      </c>
      <c r="G73" t="s">
        <v>66</v>
      </c>
    </row>
    <row r="74" spans="1:7">
      <c r="A74" s="4" t="s">
        <v>220</v>
      </c>
      <c r="B74" s="4" t="s">
        <v>216</v>
      </c>
      <c r="C74" s="4" t="s">
        <v>159</v>
      </c>
      <c r="D74" s="4" t="s">
        <v>221</v>
      </c>
      <c r="E74" s="4" t="s">
        <v>65</v>
      </c>
      <c r="F74" s="6">
        <v>55000</v>
      </c>
      <c r="G74" t="s">
        <v>66</v>
      </c>
    </row>
    <row r="75" spans="1:7">
      <c r="A75" s="4" t="s">
        <v>222</v>
      </c>
      <c r="B75" s="4" t="s">
        <v>216</v>
      </c>
      <c r="C75" s="4" t="s">
        <v>159</v>
      </c>
      <c r="D75" s="4" t="s">
        <v>223</v>
      </c>
      <c r="E75" s="4" t="s">
        <v>70</v>
      </c>
      <c r="F75" s="6">
        <v>0</v>
      </c>
      <c r="G75" t="s">
        <v>66</v>
      </c>
    </row>
    <row r="76" spans="1:7">
      <c r="A76" s="4" t="s">
        <v>224</v>
      </c>
      <c r="B76" s="4" t="s">
        <v>216</v>
      </c>
      <c r="C76" s="4" t="s">
        <v>159</v>
      </c>
      <c r="D76" s="4" t="s">
        <v>225</v>
      </c>
      <c r="E76" s="4" t="s">
        <v>70</v>
      </c>
      <c r="F76" s="6">
        <v>0</v>
      </c>
      <c r="G76" t="s">
        <v>66</v>
      </c>
    </row>
    <row r="77" spans="1:7">
      <c r="A77" s="4" t="s">
        <v>226</v>
      </c>
      <c r="B77" s="4" t="s">
        <v>216</v>
      </c>
      <c r="C77" s="4" t="s">
        <v>159</v>
      </c>
      <c r="D77" s="4" t="s">
        <v>227</v>
      </c>
      <c r="E77" s="4" t="s">
        <v>70</v>
      </c>
      <c r="F77" s="6">
        <v>0</v>
      </c>
      <c r="G77" t="s">
        <v>66</v>
      </c>
    </row>
    <row r="78" spans="1:7">
      <c r="A78" s="4" t="s">
        <v>228</v>
      </c>
      <c r="B78" s="4" t="s">
        <v>216</v>
      </c>
      <c r="C78" s="4" t="s">
        <v>159</v>
      </c>
      <c r="D78" s="4" t="s">
        <v>229</v>
      </c>
      <c r="E78" s="4" t="s">
        <v>65</v>
      </c>
      <c r="F78" s="6">
        <v>20000</v>
      </c>
      <c r="G78" t="s">
        <v>66</v>
      </c>
    </row>
    <row r="79" spans="1:7">
      <c r="A79" s="4" t="s">
        <v>230</v>
      </c>
      <c r="B79" s="4" t="s">
        <v>216</v>
      </c>
      <c r="C79" s="4" t="s">
        <v>159</v>
      </c>
      <c r="D79" s="4" t="s">
        <v>231</v>
      </c>
      <c r="E79" s="4" t="s">
        <v>65</v>
      </c>
      <c r="F79" s="6">
        <v>55000</v>
      </c>
      <c r="G79" t="s">
        <v>66</v>
      </c>
    </row>
    <row r="80" spans="1:7">
      <c r="A80" s="4" t="s">
        <v>232</v>
      </c>
      <c r="B80" s="4" t="s">
        <v>216</v>
      </c>
      <c r="C80" s="4" t="s">
        <v>159</v>
      </c>
      <c r="D80" s="4" t="s">
        <v>233</v>
      </c>
      <c r="E80" s="4" t="s">
        <v>70</v>
      </c>
      <c r="F80" s="6">
        <v>0</v>
      </c>
      <c r="G80" t="s">
        <v>66</v>
      </c>
    </row>
    <row r="81" spans="1:7">
      <c r="A81" s="4" t="s">
        <v>234</v>
      </c>
      <c r="B81" s="4" t="s">
        <v>216</v>
      </c>
      <c r="C81" s="4" t="s">
        <v>159</v>
      </c>
      <c r="D81" s="4" t="s">
        <v>235</v>
      </c>
      <c r="E81" s="4" t="s">
        <v>65</v>
      </c>
      <c r="F81" s="6">
        <v>35000</v>
      </c>
      <c r="G81" t="s">
        <v>66</v>
      </c>
    </row>
    <row r="82" spans="1:7">
      <c r="A82" s="4" t="s">
        <v>236</v>
      </c>
      <c r="B82" s="4" t="s">
        <v>216</v>
      </c>
      <c r="C82" s="4" t="s">
        <v>159</v>
      </c>
      <c r="D82" s="4" t="s">
        <v>237</v>
      </c>
      <c r="E82" s="4" t="s">
        <v>65</v>
      </c>
      <c r="F82" s="6">
        <v>15000</v>
      </c>
      <c r="G82" t="s">
        <v>66</v>
      </c>
    </row>
    <row r="83" spans="1:7">
      <c r="A83" s="4" t="s">
        <v>238</v>
      </c>
      <c r="B83" s="4" t="s">
        <v>216</v>
      </c>
      <c r="C83" s="4" t="s">
        <v>159</v>
      </c>
      <c r="D83" s="4" t="s">
        <v>239</v>
      </c>
      <c r="E83" s="4" t="s">
        <v>65</v>
      </c>
      <c r="F83" s="6">
        <v>15000</v>
      </c>
      <c r="G83" t="s">
        <v>66</v>
      </c>
    </row>
    <row r="84" spans="1:7">
      <c r="A84" s="4" t="s">
        <v>240</v>
      </c>
      <c r="B84" s="4" t="s">
        <v>216</v>
      </c>
      <c r="C84" s="4" t="s">
        <v>159</v>
      </c>
      <c r="D84" s="4" t="s">
        <v>241</v>
      </c>
      <c r="E84" s="4" t="s">
        <v>65</v>
      </c>
      <c r="F84" s="6">
        <v>36000</v>
      </c>
      <c r="G84" t="s">
        <v>66</v>
      </c>
    </row>
    <row r="85" spans="1:7">
      <c r="A85" s="4" t="s">
        <v>242</v>
      </c>
      <c r="B85" s="4" t="s">
        <v>216</v>
      </c>
      <c r="C85" s="4" t="s">
        <v>159</v>
      </c>
      <c r="D85" s="4" t="s">
        <v>243</v>
      </c>
      <c r="E85" s="4" t="s">
        <v>65</v>
      </c>
      <c r="F85" s="6">
        <v>9000</v>
      </c>
      <c r="G85" t="s">
        <v>66</v>
      </c>
    </row>
    <row r="86" spans="1:7">
      <c r="A86" s="4" t="s">
        <v>244</v>
      </c>
      <c r="B86" s="4" t="s">
        <v>216</v>
      </c>
      <c r="C86" s="4" t="s">
        <v>159</v>
      </c>
      <c r="D86" s="4" t="s">
        <v>245</v>
      </c>
      <c r="E86" s="4" t="s">
        <v>65</v>
      </c>
      <c r="F86" s="6">
        <v>45000</v>
      </c>
      <c r="G86" t="s">
        <v>66</v>
      </c>
    </row>
    <row r="87" spans="1:7">
      <c r="A87" s="4" t="s">
        <v>246</v>
      </c>
      <c r="B87" s="4" t="s">
        <v>216</v>
      </c>
      <c r="C87" s="4" t="s">
        <v>159</v>
      </c>
      <c r="D87" s="4" t="s">
        <v>247</v>
      </c>
      <c r="E87" s="4" t="s">
        <v>70</v>
      </c>
      <c r="F87" s="6">
        <v>0</v>
      </c>
      <c r="G87" t="s">
        <v>66</v>
      </c>
    </row>
    <row r="88" spans="1:7">
      <c r="A88" s="4" t="s">
        <v>248</v>
      </c>
      <c r="B88" s="4" t="s">
        <v>216</v>
      </c>
      <c r="C88" s="4" t="s">
        <v>159</v>
      </c>
      <c r="D88" s="4" t="s">
        <v>249</v>
      </c>
      <c r="E88" s="4" t="s">
        <v>65</v>
      </c>
      <c r="F88" s="6">
        <v>35000</v>
      </c>
      <c r="G88" t="s">
        <v>66</v>
      </c>
    </row>
    <row r="89" spans="1:7">
      <c r="A89" s="4" t="s">
        <v>250</v>
      </c>
      <c r="B89" s="4" t="s">
        <v>216</v>
      </c>
      <c r="C89" s="4" t="s">
        <v>159</v>
      </c>
      <c r="D89" s="4" t="s">
        <v>251</v>
      </c>
      <c r="E89" s="4" t="s">
        <v>65</v>
      </c>
      <c r="F89" s="6">
        <v>25000</v>
      </c>
      <c r="G89" t="s">
        <v>66</v>
      </c>
    </row>
    <row r="90" spans="1:7">
      <c r="A90" s="4" t="s">
        <v>252</v>
      </c>
      <c r="B90" s="4" t="s">
        <v>253</v>
      </c>
      <c r="C90" s="4" t="s">
        <v>254</v>
      </c>
      <c r="D90" s="4" t="s">
        <v>255</v>
      </c>
      <c r="E90" s="4" t="s">
        <v>65</v>
      </c>
      <c r="F90" s="6">
        <v>95000</v>
      </c>
      <c r="G90" t="s">
        <v>66</v>
      </c>
    </row>
    <row r="91" spans="1:7">
      <c r="A91" s="4" t="s">
        <v>256</v>
      </c>
      <c r="B91" s="4" t="s">
        <v>253</v>
      </c>
      <c r="C91" s="4" t="s">
        <v>254</v>
      </c>
      <c r="D91" s="4" t="s">
        <v>257</v>
      </c>
      <c r="E91" s="4" t="s">
        <v>65</v>
      </c>
      <c r="F91" s="6">
        <v>65000</v>
      </c>
      <c r="G91" t="s">
        <v>66</v>
      </c>
    </row>
    <row r="92" spans="1:7">
      <c r="A92" s="4" t="s">
        <v>258</v>
      </c>
      <c r="B92" s="4" t="s">
        <v>253</v>
      </c>
      <c r="C92" s="4" t="s">
        <v>254</v>
      </c>
      <c r="D92" s="4" t="s">
        <v>259</v>
      </c>
      <c r="E92" s="4" t="s">
        <v>65</v>
      </c>
      <c r="F92" s="6">
        <v>165000</v>
      </c>
      <c r="G92" t="s">
        <v>66</v>
      </c>
    </row>
    <row r="93" spans="1:7">
      <c r="A93" s="4" t="s">
        <v>260</v>
      </c>
      <c r="B93" s="4" t="s">
        <v>253</v>
      </c>
      <c r="C93" s="4" t="s">
        <v>254</v>
      </c>
      <c r="D93" s="4" t="s">
        <v>261</v>
      </c>
      <c r="E93" s="4" t="s">
        <v>65</v>
      </c>
      <c r="F93" s="6">
        <v>42000</v>
      </c>
      <c r="G93" t="s">
        <v>66</v>
      </c>
    </row>
    <row r="94" spans="1:7">
      <c r="A94" s="4" t="s">
        <v>262</v>
      </c>
      <c r="B94" s="4" t="s">
        <v>253</v>
      </c>
      <c r="C94" s="4" t="s">
        <v>254</v>
      </c>
      <c r="D94" s="4" t="s">
        <v>263</v>
      </c>
      <c r="E94" s="4" t="s">
        <v>65</v>
      </c>
      <c r="F94" s="6">
        <v>70000</v>
      </c>
      <c r="G94" t="s">
        <v>66</v>
      </c>
    </row>
    <row r="95" spans="1:7">
      <c r="A95" s="4" t="s">
        <v>264</v>
      </c>
      <c r="B95" s="4" t="s">
        <v>253</v>
      </c>
      <c r="C95" s="4" t="s">
        <v>254</v>
      </c>
      <c r="D95" s="4" t="s">
        <v>265</v>
      </c>
      <c r="E95" s="4" t="s">
        <v>65</v>
      </c>
      <c r="F95" s="6">
        <v>62000</v>
      </c>
      <c r="G95" t="s">
        <v>66</v>
      </c>
    </row>
    <row r="96" spans="1:7">
      <c r="A96" s="4" t="s">
        <v>266</v>
      </c>
      <c r="B96" s="4" t="s">
        <v>253</v>
      </c>
      <c r="C96" s="4" t="s">
        <v>254</v>
      </c>
      <c r="D96" s="4" t="s">
        <v>267</v>
      </c>
      <c r="E96" s="4" t="s">
        <v>65</v>
      </c>
      <c r="F96" s="6">
        <v>25000</v>
      </c>
      <c r="G96" t="s">
        <v>66</v>
      </c>
    </row>
    <row r="97" spans="1:7">
      <c r="A97" s="4" t="s">
        <v>268</v>
      </c>
      <c r="B97" s="4" t="s">
        <v>253</v>
      </c>
      <c r="C97" s="4" t="s">
        <v>254</v>
      </c>
      <c r="D97" s="4" t="s">
        <v>269</v>
      </c>
      <c r="E97" s="4" t="s">
        <v>65</v>
      </c>
      <c r="F97" s="6">
        <v>22000</v>
      </c>
      <c r="G97" t="s">
        <v>66</v>
      </c>
    </row>
    <row r="98" spans="1:7">
      <c r="A98" s="4" t="s">
        <v>270</v>
      </c>
      <c r="B98" s="4" t="s">
        <v>253</v>
      </c>
      <c r="C98" s="4" t="s">
        <v>254</v>
      </c>
      <c r="D98" s="4" t="s">
        <v>271</v>
      </c>
      <c r="E98" s="4" t="s">
        <v>65</v>
      </c>
      <c r="F98" s="6">
        <v>28000</v>
      </c>
      <c r="G98" t="s">
        <v>66</v>
      </c>
    </row>
    <row r="99" spans="1:7">
      <c r="A99" s="4" t="s">
        <v>272</v>
      </c>
      <c r="B99" s="4" t="s">
        <v>253</v>
      </c>
      <c r="C99" s="4" t="s">
        <v>254</v>
      </c>
      <c r="D99" s="4" t="s">
        <v>273</v>
      </c>
      <c r="E99" s="4" t="s">
        <v>65</v>
      </c>
      <c r="F99" s="6">
        <v>45000</v>
      </c>
      <c r="G99" t="s">
        <v>66</v>
      </c>
    </row>
    <row r="100" spans="1:7">
      <c r="A100" s="4" t="s">
        <v>274</v>
      </c>
      <c r="B100" s="4" t="s">
        <v>253</v>
      </c>
      <c r="C100" s="4" t="s">
        <v>254</v>
      </c>
      <c r="D100" s="4" t="s">
        <v>275</v>
      </c>
      <c r="E100" s="4" t="s">
        <v>65</v>
      </c>
      <c r="F100" s="6">
        <v>62000</v>
      </c>
      <c r="G100" t="s">
        <v>66</v>
      </c>
    </row>
    <row r="101" spans="1:7">
      <c r="A101" s="4" t="s">
        <v>276</v>
      </c>
      <c r="B101" s="4" t="s">
        <v>253</v>
      </c>
      <c r="C101" s="4" t="s">
        <v>254</v>
      </c>
      <c r="D101" s="4" t="s">
        <v>277</v>
      </c>
      <c r="E101" s="4" t="s">
        <v>65</v>
      </c>
      <c r="F101" s="6">
        <v>24000</v>
      </c>
      <c r="G101" t="s">
        <v>66</v>
      </c>
    </row>
    <row r="102" spans="1:7">
      <c r="A102" s="4" t="s">
        <v>278</v>
      </c>
      <c r="B102" s="4" t="s">
        <v>253</v>
      </c>
      <c r="C102" s="4" t="s">
        <v>254</v>
      </c>
      <c r="D102" s="4" t="s">
        <v>279</v>
      </c>
      <c r="E102" s="4" t="s">
        <v>65</v>
      </c>
      <c r="F102" s="6">
        <v>30000</v>
      </c>
      <c r="G102" t="s">
        <v>66</v>
      </c>
    </row>
    <row r="103" spans="1:7">
      <c r="A103" s="4" t="s">
        <v>280</v>
      </c>
      <c r="B103" s="4" t="s">
        <v>253</v>
      </c>
      <c r="C103" s="4" t="s">
        <v>254</v>
      </c>
      <c r="D103" s="4" t="s">
        <v>281</v>
      </c>
      <c r="E103" s="4" t="s">
        <v>65</v>
      </c>
      <c r="F103" s="6">
        <v>32000</v>
      </c>
      <c r="G103" t="s">
        <v>66</v>
      </c>
    </row>
    <row r="104" spans="1:7">
      <c r="A104" s="4" t="s">
        <v>282</v>
      </c>
      <c r="B104" s="4" t="s">
        <v>253</v>
      </c>
      <c r="C104" s="4" t="s">
        <v>254</v>
      </c>
      <c r="D104" s="4" t="s">
        <v>283</v>
      </c>
      <c r="E104" s="4" t="s">
        <v>70</v>
      </c>
      <c r="F104" s="6">
        <v>0</v>
      </c>
      <c r="G104" t="s">
        <v>66</v>
      </c>
    </row>
    <row r="105" spans="1:7">
      <c r="A105" s="4" t="s">
        <v>284</v>
      </c>
      <c r="B105" s="4" t="s">
        <v>253</v>
      </c>
      <c r="C105" s="4" t="s">
        <v>254</v>
      </c>
      <c r="D105" s="4" t="s">
        <v>285</v>
      </c>
      <c r="E105" s="4" t="s">
        <v>65</v>
      </c>
      <c r="F105" s="6">
        <v>48000</v>
      </c>
      <c r="G105" t="s">
        <v>66</v>
      </c>
    </row>
    <row r="106" spans="1:7">
      <c r="A106" s="4" t="s">
        <v>286</v>
      </c>
      <c r="B106" s="4" t="s">
        <v>253</v>
      </c>
      <c r="C106" s="4" t="s">
        <v>254</v>
      </c>
      <c r="D106" s="4" t="s">
        <v>287</v>
      </c>
      <c r="E106" s="4" t="s">
        <v>65</v>
      </c>
      <c r="F106" s="6">
        <v>18000</v>
      </c>
      <c r="G106" t="s">
        <v>66</v>
      </c>
    </row>
    <row r="107" spans="1:7">
      <c r="A107" s="4" t="s">
        <v>288</v>
      </c>
      <c r="B107" s="4" t="s">
        <v>253</v>
      </c>
      <c r="C107" s="4" t="s">
        <v>254</v>
      </c>
      <c r="D107" s="4" t="s">
        <v>289</v>
      </c>
      <c r="E107" s="4" t="s">
        <v>70</v>
      </c>
      <c r="F107" s="6">
        <v>0</v>
      </c>
      <c r="G107" t="s">
        <v>66</v>
      </c>
    </row>
    <row r="108" spans="1:7">
      <c r="A108" s="4" t="s">
        <v>290</v>
      </c>
      <c r="B108" s="4" t="s">
        <v>253</v>
      </c>
      <c r="C108" s="4" t="s">
        <v>254</v>
      </c>
      <c r="D108" s="4" t="s">
        <v>291</v>
      </c>
      <c r="E108" s="4" t="s">
        <v>70</v>
      </c>
      <c r="F108" s="6">
        <v>0</v>
      </c>
      <c r="G108" t="s">
        <v>66</v>
      </c>
    </row>
    <row r="109" spans="1:7">
      <c r="A109" s="4" t="s">
        <v>292</v>
      </c>
      <c r="B109" s="4" t="s">
        <v>253</v>
      </c>
      <c r="C109" s="4" t="s">
        <v>213</v>
      </c>
      <c r="D109" s="4" t="s">
        <v>293</v>
      </c>
      <c r="E109" s="4" t="s">
        <v>65</v>
      </c>
      <c r="F109" s="6">
        <v>22000</v>
      </c>
      <c r="G109" t="s">
        <v>66</v>
      </c>
    </row>
    <row r="110" spans="1:7">
      <c r="A110" s="4" t="s">
        <v>294</v>
      </c>
      <c r="B110" s="4" t="s">
        <v>295</v>
      </c>
      <c r="C110" s="4" t="s">
        <v>159</v>
      </c>
      <c r="D110" s="4" t="s">
        <v>296</v>
      </c>
      <c r="E110" s="4" t="s">
        <v>65</v>
      </c>
      <c r="F110" s="6">
        <v>35000</v>
      </c>
      <c r="G110" t="s">
        <v>66</v>
      </c>
    </row>
    <row r="111" spans="1:7">
      <c r="A111" s="4" t="s">
        <v>297</v>
      </c>
      <c r="B111" s="4" t="s">
        <v>295</v>
      </c>
      <c r="C111" s="4" t="s">
        <v>159</v>
      </c>
      <c r="D111" s="4" t="s">
        <v>298</v>
      </c>
      <c r="E111" s="4" t="s">
        <v>65</v>
      </c>
      <c r="F111" s="6">
        <v>82000</v>
      </c>
      <c r="G111" t="s">
        <v>66</v>
      </c>
    </row>
    <row r="112" spans="1:7">
      <c r="A112" s="4" t="s">
        <v>299</v>
      </c>
      <c r="B112" s="4" t="s">
        <v>295</v>
      </c>
      <c r="C112" s="4" t="s">
        <v>159</v>
      </c>
      <c r="D112" s="4" t="s">
        <v>300</v>
      </c>
      <c r="E112" s="4" t="s">
        <v>65</v>
      </c>
      <c r="F112" s="6">
        <v>245000</v>
      </c>
      <c r="G112" t="s">
        <v>66</v>
      </c>
    </row>
    <row r="113" spans="1:7">
      <c r="A113" s="4" t="s">
        <v>301</v>
      </c>
      <c r="B113" s="4" t="s">
        <v>295</v>
      </c>
      <c r="C113" s="4" t="s">
        <v>159</v>
      </c>
      <c r="D113" s="4" t="s">
        <v>302</v>
      </c>
      <c r="E113" s="4" t="s">
        <v>65</v>
      </c>
      <c r="F113" s="6">
        <v>180000</v>
      </c>
      <c r="G113" t="s">
        <v>66</v>
      </c>
    </row>
    <row r="114" spans="1:7">
      <c r="A114" s="4" t="s">
        <v>303</v>
      </c>
      <c r="B114" s="4" t="s">
        <v>295</v>
      </c>
      <c r="C114" s="4" t="s">
        <v>159</v>
      </c>
      <c r="D114" s="4" t="s">
        <v>304</v>
      </c>
      <c r="E114" s="4" t="s">
        <v>65</v>
      </c>
      <c r="F114" s="6">
        <v>24000</v>
      </c>
      <c r="G114" t="s">
        <v>66</v>
      </c>
    </row>
    <row r="115" spans="1:7">
      <c r="A115" s="4" t="s">
        <v>305</v>
      </c>
      <c r="B115" s="4" t="s">
        <v>295</v>
      </c>
      <c r="C115" s="4" t="s">
        <v>159</v>
      </c>
      <c r="D115" s="4" t="s">
        <v>306</v>
      </c>
      <c r="E115" s="4" t="s">
        <v>65</v>
      </c>
      <c r="F115" s="6">
        <v>48000</v>
      </c>
      <c r="G115" t="s">
        <v>66</v>
      </c>
    </row>
    <row r="116" spans="1:7">
      <c r="A116" s="4" t="s">
        <v>307</v>
      </c>
      <c r="B116" s="4" t="s">
        <v>295</v>
      </c>
      <c r="C116" s="4" t="s">
        <v>159</v>
      </c>
      <c r="D116" s="4" t="s">
        <v>308</v>
      </c>
      <c r="E116" s="4" t="s">
        <v>65</v>
      </c>
      <c r="F116" s="6">
        <v>38000</v>
      </c>
      <c r="G116" t="s">
        <v>66</v>
      </c>
    </row>
    <row r="117" spans="1:7">
      <c r="A117" s="4" t="s">
        <v>309</v>
      </c>
      <c r="B117" s="4" t="s">
        <v>295</v>
      </c>
      <c r="C117" s="4" t="s">
        <v>159</v>
      </c>
      <c r="D117" s="4" t="s">
        <v>310</v>
      </c>
      <c r="E117" s="4" t="s">
        <v>65</v>
      </c>
      <c r="F117" s="6">
        <v>22000</v>
      </c>
      <c r="G117" t="s">
        <v>66</v>
      </c>
    </row>
    <row r="118" spans="1:7">
      <c r="A118" s="4" t="s">
        <v>311</v>
      </c>
      <c r="B118" s="4" t="s">
        <v>295</v>
      </c>
      <c r="C118" s="4" t="s">
        <v>159</v>
      </c>
      <c r="D118" s="4" t="s">
        <v>312</v>
      </c>
      <c r="E118" s="4" t="s">
        <v>65</v>
      </c>
      <c r="F118" s="6">
        <v>115000</v>
      </c>
      <c r="G118" t="s">
        <v>66</v>
      </c>
    </row>
    <row r="119" spans="1:7">
      <c r="A119" s="4" t="s">
        <v>313</v>
      </c>
      <c r="B119" s="4" t="s">
        <v>295</v>
      </c>
      <c r="C119" s="4" t="s">
        <v>159</v>
      </c>
      <c r="D119" s="4" t="s">
        <v>314</v>
      </c>
      <c r="E119" s="4" t="s">
        <v>65</v>
      </c>
      <c r="F119" s="6">
        <v>72000</v>
      </c>
      <c r="G119" t="s">
        <v>66</v>
      </c>
    </row>
    <row r="120" spans="1:7">
      <c r="A120" s="4" t="s">
        <v>315</v>
      </c>
      <c r="B120" s="4" t="s">
        <v>295</v>
      </c>
      <c r="C120" s="4" t="s">
        <v>159</v>
      </c>
      <c r="D120" s="4" t="s">
        <v>316</v>
      </c>
      <c r="E120" s="4" t="s">
        <v>65</v>
      </c>
      <c r="F120" s="6">
        <v>125000</v>
      </c>
      <c r="G120" t="s">
        <v>66</v>
      </c>
    </row>
    <row r="121" spans="1:7">
      <c r="A121" s="4" t="s">
        <v>317</v>
      </c>
      <c r="B121" s="4" t="s">
        <v>295</v>
      </c>
      <c r="C121" s="4" t="s">
        <v>159</v>
      </c>
      <c r="D121" s="4" t="s">
        <v>318</v>
      </c>
      <c r="E121" s="4" t="s">
        <v>65</v>
      </c>
      <c r="F121" s="6">
        <v>18000</v>
      </c>
      <c r="G121" t="s">
        <v>66</v>
      </c>
    </row>
    <row r="122" spans="1:7">
      <c r="A122" s="4" t="s">
        <v>319</v>
      </c>
      <c r="B122" s="4" t="s">
        <v>295</v>
      </c>
      <c r="C122" s="4" t="s">
        <v>159</v>
      </c>
      <c r="D122" s="4" t="s">
        <v>320</v>
      </c>
      <c r="E122" s="4" t="s">
        <v>65</v>
      </c>
      <c r="F122" s="6">
        <v>38000</v>
      </c>
      <c r="G122" t="s">
        <v>66</v>
      </c>
    </row>
    <row r="123" spans="1:7">
      <c r="A123" s="4" t="s">
        <v>321</v>
      </c>
      <c r="B123" s="4" t="s">
        <v>295</v>
      </c>
      <c r="C123" s="4" t="s">
        <v>159</v>
      </c>
      <c r="D123" s="4" t="s">
        <v>322</v>
      </c>
      <c r="E123" s="4" t="s">
        <v>65</v>
      </c>
      <c r="F123" s="6">
        <v>128000</v>
      </c>
      <c r="G123" t="s">
        <v>66</v>
      </c>
    </row>
    <row r="124" spans="1:7">
      <c r="A124" s="4" t="s">
        <v>323</v>
      </c>
      <c r="B124" s="4" t="s">
        <v>295</v>
      </c>
      <c r="C124" s="4" t="s">
        <v>159</v>
      </c>
      <c r="D124" s="4" t="s">
        <v>324</v>
      </c>
      <c r="E124" s="4" t="s">
        <v>65</v>
      </c>
      <c r="F124" s="6">
        <v>190000</v>
      </c>
      <c r="G124" t="s">
        <v>66</v>
      </c>
    </row>
    <row r="125" spans="1:7">
      <c r="A125" s="4" t="s">
        <v>325</v>
      </c>
      <c r="B125" s="4" t="s">
        <v>295</v>
      </c>
      <c r="C125" s="4" t="s">
        <v>159</v>
      </c>
      <c r="D125" s="4" t="s">
        <v>326</v>
      </c>
      <c r="E125" s="4" t="s">
        <v>65</v>
      </c>
      <c r="F125" s="6">
        <v>145000</v>
      </c>
      <c r="G125" t="s">
        <v>66</v>
      </c>
    </row>
    <row r="126" spans="1:7">
      <c r="A126" s="4" t="s">
        <v>327</v>
      </c>
      <c r="B126" s="4" t="s">
        <v>295</v>
      </c>
      <c r="C126" s="4" t="s">
        <v>159</v>
      </c>
      <c r="D126" s="4" t="s">
        <v>328</v>
      </c>
      <c r="E126" s="4" t="s">
        <v>65</v>
      </c>
      <c r="F126" s="6">
        <v>118000</v>
      </c>
      <c r="G126" t="s">
        <v>66</v>
      </c>
    </row>
    <row r="127" spans="1:7">
      <c r="A127" s="4" t="s">
        <v>329</v>
      </c>
      <c r="B127" s="4" t="s">
        <v>295</v>
      </c>
      <c r="C127" s="4" t="s">
        <v>159</v>
      </c>
      <c r="D127" s="4" t="s">
        <v>330</v>
      </c>
      <c r="E127" s="4" t="s">
        <v>65</v>
      </c>
      <c r="F127" s="6">
        <v>58000</v>
      </c>
      <c r="G127" t="s">
        <v>66</v>
      </c>
    </row>
    <row r="128" spans="1:7">
      <c r="A128" s="4" t="s">
        <v>331</v>
      </c>
      <c r="B128" s="4" t="s">
        <v>295</v>
      </c>
      <c r="C128" s="4" t="s">
        <v>159</v>
      </c>
      <c r="D128" s="4" t="s">
        <v>332</v>
      </c>
      <c r="E128" s="4" t="s">
        <v>65</v>
      </c>
      <c r="F128" s="6">
        <v>28000</v>
      </c>
      <c r="G128" t="s">
        <v>66</v>
      </c>
    </row>
    <row r="129" spans="1:7">
      <c r="A129" s="4" t="s">
        <v>333</v>
      </c>
      <c r="B129" s="4" t="s">
        <v>295</v>
      </c>
      <c r="C129" s="4" t="s">
        <v>159</v>
      </c>
      <c r="D129" s="4" t="s">
        <v>334</v>
      </c>
      <c r="E129" s="4" t="s">
        <v>70</v>
      </c>
      <c r="F129" s="6">
        <v>0</v>
      </c>
      <c r="G129" t="s">
        <v>66</v>
      </c>
    </row>
    <row r="130" spans="1:7">
      <c r="A130" s="4" t="s">
        <v>335</v>
      </c>
      <c r="B130" s="4" t="s">
        <v>295</v>
      </c>
      <c r="C130" s="4" t="s">
        <v>159</v>
      </c>
      <c r="D130" s="4" t="s">
        <v>336</v>
      </c>
      <c r="E130" s="4" t="s">
        <v>65</v>
      </c>
      <c r="F130" s="6">
        <v>62000</v>
      </c>
      <c r="G130" t="s">
        <v>66</v>
      </c>
    </row>
    <row r="131" spans="1:7">
      <c r="A131" s="4" t="s">
        <v>337</v>
      </c>
      <c r="B131" s="4" t="s">
        <v>295</v>
      </c>
      <c r="C131" s="4" t="s">
        <v>159</v>
      </c>
      <c r="D131" s="4" t="s">
        <v>338</v>
      </c>
      <c r="E131" s="4" t="s">
        <v>65</v>
      </c>
      <c r="F131" s="6">
        <v>38000</v>
      </c>
      <c r="G131" t="s">
        <v>66</v>
      </c>
    </row>
    <row r="132" spans="1:7">
      <c r="A132" s="4" t="s">
        <v>339</v>
      </c>
      <c r="B132" s="4" t="s">
        <v>295</v>
      </c>
      <c r="C132" s="4" t="s">
        <v>159</v>
      </c>
      <c r="D132" s="4" t="s">
        <v>340</v>
      </c>
      <c r="E132" s="4" t="s">
        <v>65</v>
      </c>
      <c r="F132" s="6">
        <v>20000</v>
      </c>
      <c r="G132" t="s">
        <v>66</v>
      </c>
    </row>
    <row r="133" spans="1:7">
      <c r="A133" s="4" t="s">
        <v>341</v>
      </c>
      <c r="B133" s="4" t="s">
        <v>295</v>
      </c>
      <c r="C133" s="4" t="s">
        <v>159</v>
      </c>
      <c r="D133" s="4" t="s">
        <v>342</v>
      </c>
      <c r="E133" s="4" t="s">
        <v>65</v>
      </c>
      <c r="F133" s="6">
        <v>18000</v>
      </c>
      <c r="G133" t="s">
        <v>66</v>
      </c>
    </row>
    <row r="134" spans="1:7">
      <c r="A134" s="4" t="s">
        <v>343</v>
      </c>
      <c r="B134" s="4" t="s">
        <v>295</v>
      </c>
      <c r="C134" s="4" t="s">
        <v>159</v>
      </c>
      <c r="D134" s="4" t="s">
        <v>344</v>
      </c>
      <c r="E134" s="4" t="s">
        <v>65</v>
      </c>
      <c r="F134" s="6">
        <v>92000</v>
      </c>
      <c r="G134" t="s">
        <v>66</v>
      </c>
    </row>
    <row r="135" spans="1:7">
      <c r="A135" s="4" t="s">
        <v>345</v>
      </c>
      <c r="B135" s="4" t="s">
        <v>295</v>
      </c>
      <c r="C135" s="4" t="s">
        <v>159</v>
      </c>
      <c r="D135" s="4" t="s">
        <v>346</v>
      </c>
      <c r="E135" s="4" t="s">
        <v>65</v>
      </c>
      <c r="F135" s="6">
        <v>48000</v>
      </c>
      <c r="G135" t="s">
        <v>66</v>
      </c>
    </row>
    <row r="136" spans="1:7">
      <c r="A136" s="4" t="s">
        <v>347</v>
      </c>
      <c r="B136" s="4" t="s">
        <v>295</v>
      </c>
      <c r="C136" s="4" t="s">
        <v>159</v>
      </c>
      <c r="D136" s="4" t="s">
        <v>348</v>
      </c>
      <c r="E136" s="4" t="s">
        <v>65</v>
      </c>
      <c r="F136" s="6">
        <v>30000</v>
      </c>
      <c r="G136" t="s">
        <v>66</v>
      </c>
    </row>
    <row r="137" spans="1:7">
      <c r="A137" s="4" t="s">
        <v>349</v>
      </c>
      <c r="B137" s="4" t="s">
        <v>295</v>
      </c>
      <c r="C137" s="4" t="s">
        <v>175</v>
      </c>
      <c r="D137" s="4" t="s">
        <v>350</v>
      </c>
      <c r="E137" s="4" t="s">
        <v>65</v>
      </c>
      <c r="F137" s="6">
        <v>165000</v>
      </c>
      <c r="G137" t="s">
        <v>66</v>
      </c>
    </row>
    <row r="138" spans="1:7">
      <c r="A138" s="4" t="s">
        <v>351</v>
      </c>
      <c r="B138" s="4" t="s">
        <v>295</v>
      </c>
      <c r="C138" s="4" t="s">
        <v>175</v>
      </c>
      <c r="D138" s="4" t="s">
        <v>352</v>
      </c>
      <c r="E138" s="4" t="s">
        <v>65</v>
      </c>
      <c r="F138" s="6">
        <v>12000</v>
      </c>
      <c r="G138" t="s">
        <v>66</v>
      </c>
    </row>
    <row r="139" spans="1:7">
      <c r="A139" s="4" t="s">
        <v>353</v>
      </c>
      <c r="B139" s="4" t="s">
        <v>295</v>
      </c>
      <c r="C139" s="4" t="s">
        <v>175</v>
      </c>
      <c r="D139" s="4" t="s">
        <v>354</v>
      </c>
      <c r="E139" s="4" t="s">
        <v>70</v>
      </c>
      <c r="F139" s="6">
        <v>0</v>
      </c>
      <c r="G139" t="s">
        <v>66</v>
      </c>
    </row>
    <row r="140" spans="1:7">
      <c r="A140" s="4" t="s">
        <v>355</v>
      </c>
      <c r="B140" s="4" t="s">
        <v>295</v>
      </c>
      <c r="C140" s="4" t="s">
        <v>175</v>
      </c>
      <c r="D140" s="4" t="s">
        <v>356</v>
      </c>
      <c r="E140" s="4" t="s">
        <v>70</v>
      </c>
      <c r="F140" s="6">
        <v>0</v>
      </c>
      <c r="G140" t="s">
        <v>66</v>
      </c>
    </row>
    <row r="141" spans="1:7">
      <c r="A141" s="4" t="s">
        <v>357</v>
      </c>
      <c r="B141" s="4" t="s">
        <v>295</v>
      </c>
      <c r="C141" s="4" t="s">
        <v>175</v>
      </c>
      <c r="D141" s="4" t="s">
        <v>358</v>
      </c>
      <c r="E141" s="4" t="s">
        <v>70</v>
      </c>
      <c r="F141" s="6">
        <v>0</v>
      </c>
      <c r="G141" t="s">
        <v>66</v>
      </c>
    </row>
    <row r="142" spans="1:7">
      <c r="A142" s="4" t="s">
        <v>359</v>
      </c>
      <c r="B142" s="4" t="s">
        <v>295</v>
      </c>
      <c r="C142" s="4" t="s">
        <v>175</v>
      </c>
      <c r="D142" s="4" t="s">
        <v>360</v>
      </c>
      <c r="E142" s="4" t="s">
        <v>70</v>
      </c>
      <c r="F142" s="6">
        <v>0</v>
      </c>
      <c r="G142" t="s">
        <v>66</v>
      </c>
    </row>
    <row r="143" spans="1:7">
      <c r="A143" s="4" t="s">
        <v>361</v>
      </c>
      <c r="B143" s="4" t="s">
        <v>295</v>
      </c>
      <c r="C143" s="4" t="s">
        <v>175</v>
      </c>
      <c r="D143" s="4" t="s">
        <v>362</v>
      </c>
      <c r="E143" s="4" t="s">
        <v>65</v>
      </c>
      <c r="F143" s="6">
        <v>54000</v>
      </c>
      <c r="G143" t="s">
        <v>66</v>
      </c>
    </row>
    <row r="144" spans="1:7">
      <c r="A144" s="4" t="s">
        <v>363</v>
      </c>
      <c r="B144" s="4" t="s">
        <v>295</v>
      </c>
      <c r="C144" s="4" t="s">
        <v>175</v>
      </c>
      <c r="D144" s="4" t="s">
        <v>364</v>
      </c>
      <c r="E144" s="4" t="s">
        <v>65</v>
      </c>
      <c r="F144" s="6">
        <v>42000</v>
      </c>
      <c r="G144" t="s">
        <v>66</v>
      </c>
    </row>
    <row r="145" spans="1:7">
      <c r="A145" s="4" t="s">
        <v>365</v>
      </c>
      <c r="B145" s="4" t="s">
        <v>295</v>
      </c>
      <c r="C145" s="4" t="s">
        <v>175</v>
      </c>
      <c r="D145" s="4" t="s">
        <v>366</v>
      </c>
      <c r="E145" s="4" t="s">
        <v>65</v>
      </c>
      <c r="F145" s="6">
        <v>52000</v>
      </c>
      <c r="G145" t="s">
        <v>66</v>
      </c>
    </row>
    <row r="146" spans="1:7">
      <c r="A146" s="4" t="s">
        <v>367</v>
      </c>
      <c r="B146" s="4" t="s">
        <v>295</v>
      </c>
      <c r="C146" s="4" t="s">
        <v>175</v>
      </c>
      <c r="D146" s="4" t="s">
        <v>368</v>
      </c>
      <c r="E146" s="4" t="s">
        <v>65</v>
      </c>
      <c r="F146" s="6">
        <v>20000</v>
      </c>
      <c r="G146" t="s">
        <v>66</v>
      </c>
    </row>
    <row r="147" spans="1:7">
      <c r="A147" s="4" t="s">
        <v>369</v>
      </c>
      <c r="B147" s="4" t="s">
        <v>295</v>
      </c>
      <c r="C147" s="4" t="s">
        <v>175</v>
      </c>
      <c r="D147" s="4" t="s">
        <v>370</v>
      </c>
      <c r="E147" s="4" t="s">
        <v>65</v>
      </c>
      <c r="F147" s="6">
        <v>18000</v>
      </c>
      <c r="G147" t="s">
        <v>66</v>
      </c>
    </row>
    <row r="148" spans="1:7">
      <c r="A148" s="4" t="s">
        <v>371</v>
      </c>
      <c r="B148" s="4" t="s">
        <v>295</v>
      </c>
      <c r="C148" s="4" t="s">
        <v>175</v>
      </c>
      <c r="D148" s="4" t="s">
        <v>372</v>
      </c>
      <c r="E148" s="4" t="s">
        <v>65</v>
      </c>
      <c r="F148" s="6">
        <v>45000</v>
      </c>
      <c r="G148" t="s">
        <v>66</v>
      </c>
    </row>
    <row r="149" spans="1:7">
      <c r="A149" s="4" t="s">
        <v>373</v>
      </c>
      <c r="B149" s="4" t="s">
        <v>295</v>
      </c>
      <c r="C149" s="4" t="s">
        <v>175</v>
      </c>
      <c r="D149" s="4" t="s">
        <v>374</v>
      </c>
      <c r="E149" s="4" t="s">
        <v>70</v>
      </c>
      <c r="F149" s="6">
        <v>0</v>
      </c>
      <c r="G149" t="s">
        <v>66</v>
      </c>
    </row>
    <row r="150" spans="1:7">
      <c r="A150" s="4" t="s">
        <v>375</v>
      </c>
      <c r="B150" s="4" t="s">
        <v>295</v>
      </c>
      <c r="C150" s="4" t="s">
        <v>175</v>
      </c>
      <c r="D150" s="4" t="s">
        <v>376</v>
      </c>
      <c r="E150" s="4" t="s">
        <v>70</v>
      </c>
      <c r="F150" s="6">
        <v>0</v>
      </c>
      <c r="G150" t="s">
        <v>66</v>
      </c>
    </row>
    <row r="151" spans="1:7">
      <c r="A151" s="4" t="s">
        <v>377</v>
      </c>
      <c r="B151" s="4" t="s">
        <v>295</v>
      </c>
      <c r="C151" s="4" t="s">
        <v>175</v>
      </c>
      <c r="D151" s="4" t="s">
        <v>378</v>
      </c>
      <c r="E151" s="4" t="s">
        <v>65</v>
      </c>
      <c r="F151" s="6">
        <v>78000</v>
      </c>
      <c r="G151" t="s">
        <v>66</v>
      </c>
    </row>
    <row r="152" spans="1:7">
      <c r="A152" s="4" t="s">
        <v>379</v>
      </c>
      <c r="B152" s="4" t="s">
        <v>295</v>
      </c>
      <c r="C152" s="4" t="s">
        <v>175</v>
      </c>
      <c r="D152" s="4" t="s">
        <v>380</v>
      </c>
      <c r="E152" s="4" t="s">
        <v>65</v>
      </c>
      <c r="F152" s="6">
        <v>30000</v>
      </c>
      <c r="G152" t="s">
        <v>66</v>
      </c>
    </row>
    <row r="153" spans="1:7">
      <c r="A153" s="4" t="s">
        <v>381</v>
      </c>
      <c r="B153" s="4" t="s">
        <v>295</v>
      </c>
      <c r="C153" s="4" t="s">
        <v>175</v>
      </c>
      <c r="D153" s="4" t="s">
        <v>382</v>
      </c>
      <c r="E153" s="4" t="s">
        <v>65</v>
      </c>
      <c r="F153" s="6">
        <v>85000</v>
      </c>
      <c r="G153" t="s">
        <v>66</v>
      </c>
    </row>
    <row r="154" spans="1:7">
      <c r="A154" s="4" t="s">
        <v>383</v>
      </c>
      <c r="B154" s="4" t="s">
        <v>295</v>
      </c>
      <c r="C154" s="4" t="s">
        <v>175</v>
      </c>
      <c r="D154" s="4" t="s">
        <v>384</v>
      </c>
      <c r="E154" s="4" t="s">
        <v>65</v>
      </c>
      <c r="F154" s="6">
        <v>35000</v>
      </c>
      <c r="G154" t="s">
        <v>66</v>
      </c>
    </row>
    <row r="155" spans="1:7">
      <c r="A155" s="4" t="s">
        <v>385</v>
      </c>
      <c r="B155" s="4" t="s">
        <v>295</v>
      </c>
      <c r="C155" s="4" t="s">
        <v>175</v>
      </c>
      <c r="D155" s="4" t="s">
        <v>386</v>
      </c>
      <c r="E155" s="4" t="s">
        <v>65</v>
      </c>
      <c r="F155" s="6">
        <v>34000</v>
      </c>
      <c r="G155" t="s">
        <v>66</v>
      </c>
    </row>
    <row r="156" spans="1:7">
      <c r="A156" s="4" t="s">
        <v>387</v>
      </c>
      <c r="B156" s="4" t="s">
        <v>295</v>
      </c>
      <c r="C156" s="4" t="s">
        <v>175</v>
      </c>
      <c r="D156" s="4" t="s">
        <v>388</v>
      </c>
      <c r="E156" s="4" t="s">
        <v>65</v>
      </c>
      <c r="F156" s="6">
        <v>38000</v>
      </c>
      <c r="G156" t="s">
        <v>66</v>
      </c>
    </row>
    <row r="157" spans="1:7">
      <c r="A157" s="4" t="s">
        <v>389</v>
      </c>
      <c r="B157" s="4" t="s">
        <v>295</v>
      </c>
      <c r="C157" s="4" t="s">
        <v>175</v>
      </c>
      <c r="D157" s="4" t="s">
        <v>390</v>
      </c>
      <c r="E157" s="4" t="s">
        <v>65</v>
      </c>
      <c r="F157" s="6">
        <v>10000</v>
      </c>
      <c r="G157" t="s">
        <v>66</v>
      </c>
    </row>
    <row r="158" spans="1:7">
      <c r="A158" s="4" t="s">
        <v>391</v>
      </c>
      <c r="B158" s="4" t="s">
        <v>295</v>
      </c>
      <c r="C158" s="4" t="s">
        <v>175</v>
      </c>
      <c r="D158" s="4" t="s">
        <v>392</v>
      </c>
      <c r="E158" s="4" t="s">
        <v>65</v>
      </c>
      <c r="F158" s="6">
        <v>18000</v>
      </c>
      <c r="G158" t="s">
        <v>66</v>
      </c>
    </row>
    <row r="159" spans="1:7">
      <c r="A159" s="4" t="s">
        <v>393</v>
      </c>
      <c r="B159" s="4" t="s">
        <v>295</v>
      </c>
      <c r="C159" s="4" t="s">
        <v>175</v>
      </c>
      <c r="D159" s="4" t="s">
        <v>394</v>
      </c>
      <c r="E159" s="4" t="s">
        <v>65</v>
      </c>
      <c r="F159" s="6">
        <v>28000</v>
      </c>
      <c r="G159" t="s">
        <v>66</v>
      </c>
    </row>
    <row r="160" spans="1:7">
      <c r="A160" s="4" t="s">
        <v>395</v>
      </c>
      <c r="B160" s="4" t="s">
        <v>295</v>
      </c>
      <c r="C160" s="4" t="s">
        <v>175</v>
      </c>
      <c r="D160" s="4" t="s">
        <v>396</v>
      </c>
      <c r="E160" s="4" t="s">
        <v>65</v>
      </c>
      <c r="F160" s="6">
        <v>42000</v>
      </c>
      <c r="G160" t="s">
        <v>66</v>
      </c>
    </row>
    <row r="161" spans="1:7">
      <c r="A161" s="4" t="s">
        <v>397</v>
      </c>
      <c r="B161" s="4" t="s">
        <v>295</v>
      </c>
      <c r="C161" s="4" t="s">
        <v>175</v>
      </c>
      <c r="D161" s="4" t="s">
        <v>398</v>
      </c>
      <c r="E161" s="4" t="s">
        <v>65</v>
      </c>
      <c r="F161" s="6">
        <v>18000</v>
      </c>
      <c r="G161" t="s">
        <v>66</v>
      </c>
    </row>
    <row r="162" spans="1:7">
      <c r="A162" s="4" t="s">
        <v>399</v>
      </c>
      <c r="B162" s="4" t="s">
        <v>295</v>
      </c>
      <c r="C162" s="4" t="s">
        <v>175</v>
      </c>
      <c r="D162" s="4" t="s">
        <v>400</v>
      </c>
      <c r="E162" s="4" t="s">
        <v>70</v>
      </c>
      <c r="F162" s="6">
        <v>0</v>
      </c>
      <c r="G162" t="s">
        <v>66</v>
      </c>
    </row>
    <row r="163" spans="1:7">
      <c r="A163" s="4" t="s">
        <v>401</v>
      </c>
      <c r="B163" s="4" t="s">
        <v>295</v>
      </c>
      <c r="C163" s="4" t="s">
        <v>175</v>
      </c>
      <c r="D163" s="4" t="s">
        <v>402</v>
      </c>
      <c r="E163" s="4" t="s">
        <v>65</v>
      </c>
      <c r="F163" s="6">
        <v>68000</v>
      </c>
      <c r="G163" t="s">
        <v>66</v>
      </c>
    </row>
    <row r="164" spans="1:7">
      <c r="A164" s="4" t="s">
        <v>403</v>
      </c>
      <c r="B164" s="4" t="s">
        <v>295</v>
      </c>
      <c r="C164" s="4" t="s">
        <v>175</v>
      </c>
      <c r="D164" s="4" t="s">
        <v>404</v>
      </c>
      <c r="E164" s="4" t="s">
        <v>65</v>
      </c>
      <c r="F164" s="6">
        <v>12000</v>
      </c>
      <c r="G164" t="s">
        <v>66</v>
      </c>
    </row>
    <row r="165" spans="1:7">
      <c r="A165" s="4" t="s">
        <v>405</v>
      </c>
      <c r="B165" s="4" t="s">
        <v>295</v>
      </c>
      <c r="C165" s="4" t="s">
        <v>175</v>
      </c>
      <c r="D165" s="4" t="s">
        <v>406</v>
      </c>
      <c r="E165" s="4" t="s">
        <v>70</v>
      </c>
      <c r="F165" s="6">
        <v>0</v>
      </c>
      <c r="G165" t="s">
        <v>66</v>
      </c>
    </row>
    <row r="166" spans="1:7">
      <c r="A166" s="4" t="s">
        <v>407</v>
      </c>
      <c r="B166" s="4" t="s">
        <v>295</v>
      </c>
      <c r="C166" s="4" t="s">
        <v>175</v>
      </c>
      <c r="D166" s="4" t="s">
        <v>408</v>
      </c>
      <c r="E166" s="4" t="s">
        <v>65</v>
      </c>
      <c r="F166" s="6">
        <v>9000</v>
      </c>
      <c r="G166" t="s">
        <v>66</v>
      </c>
    </row>
    <row r="167" spans="1:7">
      <c r="A167" s="4" t="s">
        <v>409</v>
      </c>
      <c r="B167" s="4" t="s">
        <v>295</v>
      </c>
      <c r="C167" s="4" t="s">
        <v>175</v>
      </c>
      <c r="D167" s="4" t="s">
        <v>410</v>
      </c>
      <c r="E167" s="4" t="s">
        <v>70</v>
      </c>
      <c r="F167" s="6">
        <v>0</v>
      </c>
      <c r="G167" t="s">
        <v>66</v>
      </c>
    </row>
    <row r="168" spans="1:7">
      <c r="A168" s="4" t="s">
        <v>411</v>
      </c>
      <c r="B168" s="4" t="s">
        <v>295</v>
      </c>
      <c r="C168" s="4" t="s">
        <v>175</v>
      </c>
      <c r="D168" s="4" t="s">
        <v>412</v>
      </c>
      <c r="E168" s="4" t="s">
        <v>70</v>
      </c>
      <c r="F168" s="6">
        <v>0</v>
      </c>
      <c r="G168" t="s">
        <v>66</v>
      </c>
    </row>
    <row r="169" spans="1:7">
      <c r="A169" s="4" t="s">
        <v>413</v>
      </c>
      <c r="B169" s="4" t="s">
        <v>295</v>
      </c>
      <c r="C169" s="4" t="s">
        <v>175</v>
      </c>
      <c r="D169" s="4" t="s">
        <v>414</v>
      </c>
      <c r="E169" s="4" t="s">
        <v>65</v>
      </c>
      <c r="F169" s="6">
        <v>18000</v>
      </c>
      <c r="G169" t="s">
        <v>66</v>
      </c>
    </row>
    <row r="170" spans="1:7">
      <c r="A170" s="4" t="s">
        <v>415</v>
      </c>
      <c r="B170" s="4" t="s">
        <v>416</v>
      </c>
      <c r="C170" s="4" t="s">
        <v>254</v>
      </c>
      <c r="D170" s="4" t="s">
        <v>417</v>
      </c>
      <c r="E170" s="4" t="s">
        <v>65</v>
      </c>
      <c r="F170" s="6">
        <v>80000</v>
      </c>
      <c r="G170" t="s">
        <v>66</v>
      </c>
    </row>
    <row r="171" spans="1:7">
      <c r="A171" s="4" t="s">
        <v>418</v>
      </c>
      <c r="B171" s="4" t="s">
        <v>416</v>
      </c>
      <c r="C171" s="4" t="s">
        <v>254</v>
      </c>
      <c r="D171" s="4" t="s">
        <v>419</v>
      </c>
      <c r="E171" s="4" t="s">
        <v>70</v>
      </c>
      <c r="F171" s="6">
        <v>0</v>
      </c>
      <c r="G171" t="s">
        <v>66</v>
      </c>
    </row>
    <row r="172" spans="1:7">
      <c r="A172" s="4" t="s">
        <v>420</v>
      </c>
      <c r="B172" s="4" t="s">
        <v>416</v>
      </c>
      <c r="C172" s="4" t="s">
        <v>254</v>
      </c>
      <c r="D172" s="4" t="s">
        <v>421</v>
      </c>
      <c r="E172" s="4" t="s">
        <v>65</v>
      </c>
      <c r="F172" s="6">
        <v>18000</v>
      </c>
      <c r="G172" t="s">
        <v>66</v>
      </c>
    </row>
    <row r="173" spans="1:7">
      <c r="A173" s="4" t="s">
        <v>422</v>
      </c>
      <c r="B173" s="4" t="s">
        <v>416</v>
      </c>
      <c r="C173" s="4" t="s">
        <v>254</v>
      </c>
      <c r="D173" s="4" t="s">
        <v>423</v>
      </c>
      <c r="E173" s="4" t="s">
        <v>70</v>
      </c>
      <c r="F173" s="6">
        <v>0</v>
      </c>
      <c r="G173" t="s">
        <v>66</v>
      </c>
    </row>
    <row r="174" spans="1:7">
      <c r="A174" s="4" t="s">
        <v>424</v>
      </c>
      <c r="B174" s="4" t="s">
        <v>416</v>
      </c>
      <c r="C174" s="4" t="s">
        <v>254</v>
      </c>
      <c r="D174" s="4" t="s">
        <v>425</v>
      </c>
      <c r="E174" s="4" t="s">
        <v>70</v>
      </c>
      <c r="F174" s="6">
        <v>0</v>
      </c>
      <c r="G174" t="s">
        <v>66</v>
      </c>
    </row>
    <row r="175" spans="1:7">
      <c r="A175" s="4" t="s">
        <v>426</v>
      </c>
      <c r="B175" s="4" t="s">
        <v>416</v>
      </c>
      <c r="C175" s="4" t="s">
        <v>254</v>
      </c>
      <c r="D175" s="4" t="s">
        <v>427</v>
      </c>
      <c r="E175" s="4" t="s">
        <v>70</v>
      </c>
      <c r="F175" s="6">
        <v>0</v>
      </c>
      <c r="G175" t="s">
        <v>66</v>
      </c>
    </row>
    <row r="176" spans="1:7">
      <c r="A176" s="4" t="s">
        <v>428</v>
      </c>
      <c r="B176" s="4" t="s">
        <v>416</v>
      </c>
      <c r="C176" s="4" t="s">
        <v>254</v>
      </c>
      <c r="D176" s="4" t="s">
        <v>429</v>
      </c>
      <c r="E176" s="4" t="s">
        <v>70</v>
      </c>
      <c r="F176" s="6">
        <v>0</v>
      </c>
      <c r="G176" t="s">
        <v>66</v>
      </c>
    </row>
    <row r="177" spans="1:7">
      <c r="A177" s="4" t="s">
        <v>430</v>
      </c>
      <c r="B177" s="4" t="s">
        <v>416</v>
      </c>
      <c r="C177" s="4" t="s">
        <v>254</v>
      </c>
      <c r="D177" s="4" t="s">
        <v>431</v>
      </c>
      <c r="E177" s="4" t="s">
        <v>65</v>
      </c>
      <c r="F177" s="6">
        <v>95000</v>
      </c>
      <c r="G177" t="s">
        <v>66</v>
      </c>
    </row>
    <row r="178" spans="1:7">
      <c r="A178" s="4" t="s">
        <v>432</v>
      </c>
      <c r="B178" s="4" t="s">
        <v>416</v>
      </c>
      <c r="C178" s="4" t="s">
        <v>180</v>
      </c>
      <c r="D178" s="4" t="s">
        <v>433</v>
      </c>
      <c r="E178" s="4" t="s">
        <v>70</v>
      </c>
      <c r="F178" s="6">
        <v>0</v>
      </c>
      <c r="G178" t="s">
        <v>66</v>
      </c>
    </row>
    <row r="179" spans="1:7">
      <c r="A179" s="4" t="s">
        <v>434</v>
      </c>
      <c r="B179" s="4" t="s">
        <v>416</v>
      </c>
      <c r="C179" s="4" t="s">
        <v>254</v>
      </c>
      <c r="D179" s="4" t="s">
        <v>435</v>
      </c>
      <c r="E179" s="4" t="s">
        <v>70</v>
      </c>
      <c r="F179" s="6">
        <v>0</v>
      </c>
      <c r="G179" t="s">
        <v>66</v>
      </c>
    </row>
    <row r="180" spans="1:7">
      <c r="A180" s="4" t="s">
        <v>436</v>
      </c>
      <c r="B180" s="4" t="s">
        <v>416</v>
      </c>
      <c r="C180" s="4" t="s">
        <v>254</v>
      </c>
      <c r="D180" s="4" t="s">
        <v>437</v>
      </c>
      <c r="E180" s="4" t="s">
        <v>65</v>
      </c>
      <c r="F180" s="6">
        <v>65000</v>
      </c>
      <c r="G180" t="s">
        <v>66</v>
      </c>
    </row>
    <row r="181" spans="1:7">
      <c r="A181" s="4" t="s">
        <v>438</v>
      </c>
      <c r="B181" s="4" t="s">
        <v>416</v>
      </c>
      <c r="C181" s="4" t="s">
        <v>254</v>
      </c>
      <c r="D181" s="4" t="s">
        <v>439</v>
      </c>
      <c r="E181" s="4" t="s">
        <v>70</v>
      </c>
      <c r="F181" s="6">
        <v>0</v>
      </c>
      <c r="G181" t="s">
        <v>66</v>
      </c>
    </row>
    <row r="182" spans="1:7">
      <c r="A182" s="4" t="s">
        <v>440</v>
      </c>
      <c r="B182" s="4" t="s">
        <v>416</v>
      </c>
      <c r="C182" s="4" t="s">
        <v>112</v>
      </c>
      <c r="D182" s="4" t="s">
        <v>441</v>
      </c>
      <c r="E182" s="4" t="s">
        <v>70</v>
      </c>
      <c r="F182" s="6">
        <v>0</v>
      </c>
      <c r="G182" t="s">
        <v>66</v>
      </c>
    </row>
    <row r="183" spans="1:7">
      <c r="A183" s="4" t="s">
        <v>442</v>
      </c>
      <c r="B183" s="4" t="s">
        <v>416</v>
      </c>
      <c r="C183" s="4" t="s">
        <v>112</v>
      </c>
      <c r="D183" s="4" t="s">
        <v>443</v>
      </c>
      <c r="E183" s="4" t="s">
        <v>70</v>
      </c>
      <c r="F183" s="6">
        <v>0</v>
      </c>
      <c r="G183" t="s">
        <v>66</v>
      </c>
    </row>
    <row r="184" spans="1:7">
      <c r="A184" s="4" t="s">
        <v>444</v>
      </c>
      <c r="B184" s="4" t="s">
        <v>416</v>
      </c>
      <c r="C184" s="4" t="s">
        <v>254</v>
      </c>
      <c r="D184" s="4" t="s">
        <v>445</v>
      </c>
      <c r="E184" s="4" t="s">
        <v>65</v>
      </c>
      <c r="F184" s="6">
        <v>55000</v>
      </c>
      <c r="G184" t="s">
        <v>66</v>
      </c>
    </row>
    <row r="185" spans="1:7">
      <c r="A185" s="4" t="s">
        <v>446</v>
      </c>
      <c r="B185" s="4" t="s">
        <v>416</v>
      </c>
      <c r="C185" s="4" t="s">
        <v>254</v>
      </c>
      <c r="D185" s="4" t="s">
        <v>447</v>
      </c>
      <c r="E185" s="4" t="s">
        <v>65</v>
      </c>
      <c r="F185" s="6">
        <v>25000</v>
      </c>
      <c r="G185" t="s">
        <v>66</v>
      </c>
    </row>
    <row r="186" spans="1:7">
      <c r="A186" s="4" t="s">
        <v>448</v>
      </c>
      <c r="B186" s="4" t="s">
        <v>416</v>
      </c>
      <c r="C186" s="4" t="s">
        <v>254</v>
      </c>
      <c r="D186" s="4" t="s">
        <v>449</v>
      </c>
      <c r="E186" s="4" t="s">
        <v>65</v>
      </c>
      <c r="F186" s="6">
        <v>75000</v>
      </c>
      <c r="G186" t="s">
        <v>66</v>
      </c>
    </row>
    <row r="187" spans="1:7">
      <c r="A187" s="4" t="s">
        <v>450</v>
      </c>
      <c r="B187" s="4" t="s">
        <v>416</v>
      </c>
      <c r="C187" s="4" t="s">
        <v>180</v>
      </c>
      <c r="D187" s="4" t="s">
        <v>451</v>
      </c>
      <c r="E187" s="4" t="s">
        <v>70</v>
      </c>
      <c r="F187" s="6">
        <v>0</v>
      </c>
      <c r="G187" t="s">
        <v>66</v>
      </c>
    </row>
    <row r="188" spans="1:7">
      <c r="A188" s="4" t="s">
        <v>452</v>
      </c>
      <c r="B188" s="4" t="s">
        <v>416</v>
      </c>
      <c r="C188" s="4" t="s">
        <v>180</v>
      </c>
      <c r="D188" s="4" t="s">
        <v>453</v>
      </c>
      <c r="E188" s="4" t="s">
        <v>70</v>
      </c>
      <c r="F188" s="6">
        <v>0</v>
      </c>
      <c r="G188" t="s">
        <v>66</v>
      </c>
    </row>
    <row r="189" spans="1:7">
      <c r="A189" s="4" t="s">
        <v>454</v>
      </c>
      <c r="B189" s="4" t="s">
        <v>416</v>
      </c>
      <c r="C189" s="4" t="s">
        <v>254</v>
      </c>
      <c r="D189" s="4" t="s">
        <v>455</v>
      </c>
      <c r="E189" s="4" t="s">
        <v>70</v>
      </c>
      <c r="F189" s="6">
        <v>0</v>
      </c>
      <c r="G189" t="s">
        <v>66</v>
      </c>
    </row>
    <row r="190" spans="1:7">
      <c r="A190" s="4" t="s">
        <v>456</v>
      </c>
      <c r="B190" s="4" t="s">
        <v>416</v>
      </c>
      <c r="C190" s="4" t="s">
        <v>175</v>
      </c>
      <c r="D190" s="4" t="s">
        <v>457</v>
      </c>
      <c r="E190" s="4" t="s">
        <v>70</v>
      </c>
      <c r="F190" s="6">
        <v>0</v>
      </c>
      <c r="G190" t="s">
        <v>66</v>
      </c>
    </row>
    <row r="191" spans="1:7">
      <c r="A191" s="4" t="s">
        <v>458</v>
      </c>
      <c r="B191" s="4" t="s">
        <v>416</v>
      </c>
      <c r="C191" s="4" t="s">
        <v>254</v>
      </c>
      <c r="D191" s="4" t="s">
        <v>459</v>
      </c>
      <c r="E191" s="4" t="s">
        <v>70</v>
      </c>
      <c r="F191" s="6">
        <v>0</v>
      </c>
      <c r="G191" t="s">
        <v>66</v>
      </c>
    </row>
    <row r="192" spans="1:7">
      <c r="A192" s="4" t="s">
        <v>460</v>
      </c>
      <c r="B192" s="4" t="s">
        <v>416</v>
      </c>
      <c r="C192" s="4" t="s">
        <v>254</v>
      </c>
      <c r="D192" s="4" t="s">
        <v>461</v>
      </c>
      <c r="E192" s="4" t="s">
        <v>70</v>
      </c>
      <c r="F192" s="6">
        <v>0</v>
      </c>
      <c r="G192" t="s">
        <v>66</v>
      </c>
    </row>
    <row r="193" spans="1:7">
      <c r="A193" s="4" t="s">
        <v>462</v>
      </c>
      <c r="B193" s="4" t="s">
        <v>463</v>
      </c>
      <c r="C193" s="4" t="s">
        <v>112</v>
      </c>
      <c r="D193" s="4" t="s">
        <v>464</v>
      </c>
      <c r="E193" s="4" t="s">
        <v>65</v>
      </c>
      <c r="F193" s="6">
        <v>160000</v>
      </c>
      <c r="G193" t="s">
        <v>66</v>
      </c>
    </row>
    <row r="194" spans="1:7">
      <c r="A194" s="4" t="s">
        <v>465</v>
      </c>
      <c r="B194" s="4" t="s">
        <v>463</v>
      </c>
      <c r="C194" s="4" t="s">
        <v>112</v>
      </c>
      <c r="D194" s="4" t="s">
        <v>466</v>
      </c>
      <c r="E194" s="4" t="s">
        <v>65</v>
      </c>
      <c r="F194" s="6">
        <v>115000</v>
      </c>
      <c r="G194" t="s">
        <v>66</v>
      </c>
    </row>
    <row r="195" spans="1:7">
      <c r="A195" s="4" t="s">
        <v>467</v>
      </c>
      <c r="B195" s="4" t="s">
        <v>468</v>
      </c>
      <c r="C195" s="4" t="s">
        <v>469</v>
      </c>
      <c r="D195" s="4" t="s">
        <v>30</v>
      </c>
      <c r="E195" s="4" t="s">
        <v>70</v>
      </c>
      <c r="F195" s="6">
        <v>0</v>
      </c>
      <c r="G195" t="s">
        <v>66</v>
      </c>
    </row>
    <row r="196" spans="1:7">
      <c r="A196" s="4" t="s">
        <v>470</v>
      </c>
      <c r="B196" s="4" t="s">
        <v>468</v>
      </c>
      <c r="C196" s="4" t="s">
        <v>74</v>
      </c>
      <c r="D196" s="4" t="s">
        <v>471</v>
      </c>
      <c r="E196" s="4" t="s">
        <v>65</v>
      </c>
      <c r="F196" s="6">
        <v>25000</v>
      </c>
      <c r="G196" t="s">
        <v>66</v>
      </c>
    </row>
    <row r="197" spans="1:7">
      <c r="A197" s="4" t="s">
        <v>472</v>
      </c>
      <c r="B197" s="4" t="s">
        <v>468</v>
      </c>
      <c r="C197" s="4" t="s">
        <v>74</v>
      </c>
      <c r="D197" s="4" t="s">
        <v>473</v>
      </c>
      <c r="E197" s="4" t="s">
        <v>65</v>
      </c>
      <c r="F197" s="6">
        <v>95000</v>
      </c>
      <c r="G197" t="s">
        <v>66</v>
      </c>
    </row>
    <row r="198" spans="1:7">
      <c r="A198" s="4" t="s">
        <v>474</v>
      </c>
      <c r="B198" s="4" t="s">
        <v>468</v>
      </c>
      <c r="C198" s="4" t="s">
        <v>469</v>
      </c>
      <c r="D198" s="4" t="s">
        <v>475</v>
      </c>
      <c r="E198" s="4" t="s">
        <v>70</v>
      </c>
      <c r="F198" s="6">
        <v>0</v>
      </c>
      <c r="G198" t="s">
        <v>66</v>
      </c>
    </row>
    <row r="199" spans="1:7">
      <c r="A199" s="4" t="s">
        <v>476</v>
      </c>
      <c r="B199" s="4" t="s">
        <v>468</v>
      </c>
      <c r="C199" s="4" t="s">
        <v>74</v>
      </c>
      <c r="D199" s="4" t="s">
        <v>477</v>
      </c>
      <c r="E199" s="4" t="s">
        <v>65</v>
      </c>
      <c r="F199" s="6">
        <v>42000</v>
      </c>
      <c r="G199" t="s">
        <v>66</v>
      </c>
    </row>
    <row r="200" spans="1:7">
      <c r="A200" s="4" t="s">
        <v>478</v>
      </c>
      <c r="B200" s="4" t="s">
        <v>468</v>
      </c>
      <c r="C200" s="4" t="s">
        <v>175</v>
      </c>
      <c r="D200" s="4" t="s">
        <v>479</v>
      </c>
      <c r="E200" s="4" t="s">
        <v>65</v>
      </c>
      <c r="F200" s="6">
        <v>12000</v>
      </c>
      <c r="G200" t="s">
        <v>66</v>
      </c>
    </row>
    <row r="201" spans="1:7">
      <c r="A201" s="4" t="s">
        <v>480</v>
      </c>
      <c r="B201" s="4" t="s">
        <v>468</v>
      </c>
      <c r="C201" s="4" t="s">
        <v>481</v>
      </c>
      <c r="D201" s="4" t="s">
        <v>482</v>
      </c>
      <c r="E201" s="4" t="s">
        <v>65</v>
      </c>
      <c r="F201" s="6">
        <v>35000</v>
      </c>
      <c r="G201" t="s">
        <v>66</v>
      </c>
    </row>
    <row r="202" spans="1:7">
      <c r="A202" s="4" t="s">
        <v>483</v>
      </c>
      <c r="B202" s="4" t="s">
        <v>468</v>
      </c>
      <c r="C202" s="4" t="s">
        <v>481</v>
      </c>
      <c r="D202" s="4" t="s">
        <v>484</v>
      </c>
      <c r="E202" s="4" t="s">
        <v>65</v>
      </c>
      <c r="F202" s="6">
        <v>18000</v>
      </c>
      <c r="G202" t="s">
        <v>66</v>
      </c>
    </row>
    <row r="203" spans="1:7">
      <c r="A203" s="4" t="s">
        <v>485</v>
      </c>
      <c r="B203" s="4" t="s">
        <v>468</v>
      </c>
      <c r="C203" s="4" t="s">
        <v>175</v>
      </c>
      <c r="D203" s="4" t="s">
        <v>486</v>
      </c>
      <c r="E203" s="4" t="s">
        <v>70</v>
      </c>
      <c r="F203" s="6">
        <v>0</v>
      </c>
      <c r="G203" t="s">
        <v>66</v>
      </c>
    </row>
    <row r="204" spans="1:7">
      <c r="A204" s="4" t="s">
        <v>487</v>
      </c>
      <c r="B204" s="4" t="s">
        <v>468</v>
      </c>
      <c r="C204" s="4" t="s">
        <v>112</v>
      </c>
      <c r="D204" s="4" t="s">
        <v>488</v>
      </c>
      <c r="E204" s="4" t="s">
        <v>70</v>
      </c>
      <c r="F204" s="6">
        <v>0</v>
      </c>
      <c r="G204" t="s">
        <v>66</v>
      </c>
    </row>
    <row r="205" spans="1:7">
      <c r="A205" s="4" t="s">
        <v>489</v>
      </c>
      <c r="B205" s="4" t="s">
        <v>468</v>
      </c>
      <c r="C205" s="4" t="s">
        <v>175</v>
      </c>
      <c r="D205" s="4" t="s">
        <v>490</v>
      </c>
      <c r="E205" s="4" t="s">
        <v>65</v>
      </c>
      <c r="F205" s="6">
        <v>8000</v>
      </c>
      <c r="G205" t="s">
        <v>66</v>
      </c>
    </row>
    <row r="206" spans="1:7">
      <c r="A206" s="4" t="s">
        <v>491</v>
      </c>
      <c r="B206" s="4" t="s">
        <v>468</v>
      </c>
      <c r="C206" s="4" t="s">
        <v>481</v>
      </c>
      <c r="D206" s="4" t="s">
        <v>492</v>
      </c>
      <c r="E206" s="4" t="s">
        <v>65</v>
      </c>
      <c r="F206" s="6">
        <v>10000</v>
      </c>
      <c r="G206" t="s">
        <v>66</v>
      </c>
    </row>
    <row r="207" spans="1:7">
      <c r="A207" s="4" t="s">
        <v>493</v>
      </c>
      <c r="B207" s="4" t="s">
        <v>468</v>
      </c>
      <c r="C207" s="4" t="s">
        <v>481</v>
      </c>
      <c r="D207" s="4" t="s">
        <v>494</v>
      </c>
      <c r="E207" s="4" t="s">
        <v>65</v>
      </c>
      <c r="F207" s="6">
        <v>12000</v>
      </c>
      <c r="G207" t="s">
        <v>66</v>
      </c>
    </row>
    <row r="208" spans="1:7">
      <c r="A208" s="4" t="s">
        <v>495</v>
      </c>
      <c r="B208" s="4" t="s">
        <v>468</v>
      </c>
      <c r="C208" s="4" t="s">
        <v>481</v>
      </c>
      <c r="D208" s="4" t="s">
        <v>496</v>
      </c>
      <c r="E208" s="4" t="s">
        <v>65</v>
      </c>
      <c r="F208" s="6">
        <v>10000</v>
      </c>
      <c r="G208" t="s">
        <v>66</v>
      </c>
    </row>
    <row r="209" spans="1:7">
      <c r="A209" s="4" t="s">
        <v>497</v>
      </c>
      <c r="B209" s="4" t="s">
        <v>468</v>
      </c>
      <c r="C209" s="4" t="s">
        <v>481</v>
      </c>
      <c r="D209" s="4" t="s">
        <v>498</v>
      </c>
      <c r="E209" s="4" t="s">
        <v>70</v>
      </c>
      <c r="F209" s="6">
        <v>0</v>
      </c>
      <c r="G209" t="s">
        <v>66</v>
      </c>
    </row>
    <row r="210" spans="1:7">
      <c r="A210" s="4" t="s">
        <v>499</v>
      </c>
      <c r="B210" s="4" t="s">
        <v>468</v>
      </c>
      <c r="C210" s="4" t="s">
        <v>481</v>
      </c>
      <c r="D210" s="4" t="s">
        <v>500</v>
      </c>
      <c r="E210" s="4" t="s">
        <v>70</v>
      </c>
      <c r="F210" s="6">
        <v>0</v>
      </c>
      <c r="G210" t="s">
        <v>66</v>
      </c>
    </row>
    <row r="211" spans="1:7">
      <c r="A211" s="4" t="s">
        <v>501</v>
      </c>
      <c r="B211" s="4" t="s">
        <v>468</v>
      </c>
      <c r="C211" s="4" t="s">
        <v>175</v>
      </c>
      <c r="D211" s="4" t="s">
        <v>502</v>
      </c>
      <c r="E211" s="4" t="s">
        <v>65</v>
      </c>
      <c r="F211" s="6">
        <v>4000</v>
      </c>
      <c r="G211" t="s">
        <v>66</v>
      </c>
    </row>
    <row r="212" spans="1:7">
      <c r="A212" s="4" t="s">
        <v>503</v>
      </c>
      <c r="B212" s="4" t="s">
        <v>468</v>
      </c>
      <c r="C212" s="4" t="s">
        <v>175</v>
      </c>
      <c r="D212" s="4" t="s">
        <v>504</v>
      </c>
      <c r="E212" s="4" t="s">
        <v>65</v>
      </c>
      <c r="F212" s="6">
        <v>5000</v>
      </c>
      <c r="G212" t="s">
        <v>66</v>
      </c>
    </row>
    <row r="213" spans="1:7">
      <c r="A213" s="4" t="s">
        <v>505</v>
      </c>
      <c r="B213" s="4" t="s">
        <v>468</v>
      </c>
      <c r="C213" s="4" t="s">
        <v>180</v>
      </c>
      <c r="D213" s="4" t="s">
        <v>506</v>
      </c>
      <c r="E213" s="4" t="s">
        <v>70</v>
      </c>
      <c r="F213" s="6">
        <v>0</v>
      </c>
      <c r="G213" t="s">
        <v>66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4"/>
  <sheetViews>
    <sheetView workbookViewId="0"/>
  </sheetViews>
  <sheetFormatPr defaultRowHeight="14.25"/>
  <cols>
    <col min="1" max="1" width="12" customWidth="1"/>
    <col min="2" max="2" width="18" customWidth="1"/>
    <col min="3" max="3" width="15" customWidth="1"/>
    <col min="4" max="4" width="44" customWidth="1"/>
    <col min="5" max="5" width="18" customWidth="1"/>
    <col min="6" max="6" width="16" customWidth="1"/>
    <col min="7" max="7" width="12" customWidth="1"/>
    <col min="8" max="8" width="48" customWidth="1"/>
  </cols>
  <sheetData>
    <row r="1" spans="1:8" ht="27.95" customHeight="1">
      <c r="A1" s="16" t="s">
        <v>507</v>
      </c>
      <c r="B1" s="16"/>
      <c r="C1" s="16"/>
      <c r="D1" s="16"/>
      <c r="E1" s="16"/>
      <c r="F1" s="16"/>
      <c r="G1" s="16"/>
      <c r="H1" s="16"/>
    </row>
    <row r="3" spans="1:8" ht="15">
      <c r="A3" s="3" t="s">
        <v>54</v>
      </c>
      <c r="B3" s="3" t="s">
        <v>55</v>
      </c>
      <c r="C3" s="3" t="s">
        <v>56</v>
      </c>
      <c r="D3" s="3" t="s">
        <v>57</v>
      </c>
      <c r="E3" s="3" t="s">
        <v>59</v>
      </c>
      <c r="F3" s="3" t="s">
        <v>508</v>
      </c>
      <c r="G3" s="3" t="s">
        <v>509</v>
      </c>
      <c r="H3" s="3" t="s">
        <v>510</v>
      </c>
    </row>
    <row r="4" spans="1:8">
      <c r="A4" t="s">
        <v>61</v>
      </c>
      <c r="B4" t="s">
        <v>62</v>
      </c>
      <c r="C4" t="s">
        <v>63</v>
      </c>
      <c r="D4" t="s">
        <v>64</v>
      </c>
      <c r="E4" s="6">
        <v>1650000</v>
      </c>
      <c r="F4" s="8">
        <f t="shared" ref="F4:F67" si="0">IF(E4=0,0,E4/24)</f>
        <v>68750</v>
      </c>
      <c r="G4" t="s">
        <v>65</v>
      </c>
      <c r="H4" t="s">
        <v>511</v>
      </c>
    </row>
    <row r="5" spans="1:8">
      <c r="A5" t="s">
        <v>67</v>
      </c>
      <c r="B5" t="s">
        <v>62</v>
      </c>
      <c r="C5" t="s">
        <v>68</v>
      </c>
      <c r="D5" t="s">
        <v>69</v>
      </c>
      <c r="E5" s="6">
        <v>0</v>
      </c>
      <c r="F5" s="8">
        <f t="shared" si="0"/>
        <v>0</v>
      </c>
      <c r="G5" t="s">
        <v>70</v>
      </c>
    </row>
    <row r="6" spans="1:8">
      <c r="A6" t="s">
        <v>71</v>
      </c>
      <c r="B6" t="s">
        <v>62</v>
      </c>
      <c r="C6" t="s">
        <v>68</v>
      </c>
      <c r="D6" t="s">
        <v>72</v>
      </c>
      <c r="E6" s="6">
        <v>85000</v>
      </c>
      <c r="F6" s="8">
        <f t="shared" si="0"/>
        <v>3541.6666666666665</v>
      </c>
      <c r="G6" t="s">
        <v>65</v>
      </c>
      <c r="H6" t="s">
        <v>511</v>
      </c>
    </row>
    <row r="7" spans="1:8">
      <c r="A7" t="s">
        <v>73</v>
      </c>
      <c r="B7" t="s">
        <v>62</v>
      </c>
      <c r="C7" t="s">
        <v>74</v>
      </c>
      <c r="D7" t="s">
        <v>75</v>
      </c>
      <c r="E7" s="6">
        <v>25000</v>
      </c>
      <c r="F7" s="8">
        <f t="shared" si="0"/>
        <v>1041.6666666666667</v>
      </c>
      <c r="G7" t="s">
        <v>65</v>
      </c>
      <c r="H7" t="s">
        <v>511</v>
      </c>
    </row>
    <row r="8" spans="1:8">
      <c r="A8" t="s">
        <v>76</v>
      </c>
      <c r="B8" t="s">
        <v>62</v>
      </c>
      <c r="C8" t="s">
        <v>74</v>
      </c>
      <c r="D8" t="s">
        <v>77</v>
      </c>
      <c r="E8" s="6">
        <v>0</v>
      </c>
      <c r="F8" s="8">
        <f t="shared" si="0"/>
        <v>0</v>
      </c>
      <c r="G8" t="s">
        <v>70</v>
      </c>
    </row>
    <row r="9" spans="1:8">
      <c r="A9" t="s">
        <v>78</v>
      </c>
      <c r="B9" t="s">
        <v>62</v>
      </c>
      <c r="C9" t="s">
        <v>74</v>
      </c>
      <c r="D9" t="s">
        <v>79</v>
      </c>
      <c r="E9" s="6">
        <v>0</v>
      </c>
      <c r="F9" s="8">
        <f t="shared" si="0"/>
        <v>0</v>
      </c>
      <c r="G9" t="s">
        <v>70</v>
      </c>
    </row>
    <row r="10" spans="1:8">
      <c r="A10" t="s">
        <v>80</v>
      </c>
      <c r="B10" t="s">
        <v>62</v>
      </c>
      <c r="C10" t="s">
        <v>63</v>
      </c>
      <c r="D10" t="s">
        <v>81</v>
      </c>
      <c r="E10" s="6">
        <v>0</v>
      </c>
      <c r="F10" s="8">
        <f t="shared" si="0"/>
        <v>0</v>
      </c>
      <c r="G10" t="s">
        <v>70</v>
      </c>
    </row>
    <row r="11" spans="1:8">
      <c r="A11" t="s">
        <v>82</v>
      </c>
      <c r="B11" t="s">
        <v>83</v>
      </c>
      <c r="C11" t="s">
        <v>74</v>
      </c>
      <c r="D11" t="s">
        <v>84</v>
      </c>
      <c r="E11" s="6">
        <v>35000</v>
      </c>
      <c r="F11" s="8">
        <f t="shared" si="0"/>
        <v>1458.3333333333333</v>
      </c>
      <c r="G11" t="s">
        <v>65</v>
      </c>
      <c r="H11" t="s">
        <v>511</v>
      </c>
    </row>
    <row r="12" spans="1:8">
      <c r="A12" t="s">
        <v>85</v>
      </c>
      <c r="B12" t="s">
        <v>83</v>
      </c>
      <c r="C12" t="s">
        <v>74</v>
      </c>
      <c r="D12" t="s">
        <v>86</v>
      </c>
      <c r="E12" s="6">
        <v>25000</v>
      </c>
      <c r="F12" s="8">
        <f t="shared" si="0"/>
        <v>1041.6666666666667</v>
      </c>
      <c r="G12" t="s">
        <v>65</v>
      </c>
      <c r="H12" t="s">
        <v>511</v>
      </c>
    </row>
    <row r="13" spans="1:8">
      <c r="A13" t="s">
        <v>87</v>
      </c>
      <c r="B13" t="s">
        <v>83</v>
      </c>
      <c r="C13" t="s">
        <v>74</v>
      </c>
      <c r="D13" t="s">
        <v>88</v>
      </c>
      <c r="E13" s="6">
        <v>15000</v>
      </c>
      <c r="F13" s="8">
        <f t="shared" si="0"/>
        <v>625</v>
      </c>
      <c r="G13" t="s">
        <v>65</v>
      </c>
      <c r="H13" t="s">
        <v>511</v>
      </c>
    </row>
    <row r="14" spans="1:8">
      <c r="A14" t="s">
        <v>89</v>
      </c>
      <c r="B14" t="s">
        <v>83</v>
      </c>
      <c r="C14" t="s">
        <v>74</v>
      </c>
      <c r="D14" t="s">
        <v>90</v>
      </c>
      <c r="E14" s="6">
        <v>20000</v>
      </c>
      <c r="F14" s="8">
        <f t="shared" si="0"/>
        <v>833.33333333333337</v>
      </c>
      <c r="G14" t="s">
        <v>65</v>
      </c>
      <c r="H14" t="s">
        <v>511</v>
      </c>
    </row>
    <row r="15" spans="1:8">
      <c r="A15" t="s">
        <v>91</v>
      </c>
      <c r="B15" t="s">
        <v>83</v>
      </c>
      <c r="C15" t="s">
        <v>74</v>
      </c>
      <c r="D15" t="s">
        <v>92</v>
      </c>
      <c r="E15" s="6">
        <v>40000</v>
      </c>
      <c r="F15" s="8">
        <f t="shared" si="0"/>
        <v>1666.6666666666667</v>
      </c>
      <c r="G15" t="s">
        <v>65</v>
      </c>
      <c r="H15" t="s">
        <v>511</v>
      </c>
    </row>
    <row r="16" spans="1:8">
      <c r="A16" t="s">
        <v>93</v>
      </c>
      <c r="B16" t="s">
        <v>83</v>
      </c>
      <c r="C16" t="s">
        <v>74</v>
      </c>
      <c r="D16" t="s">
        <v>94</v>
      </c>
      <c r="E16" s="6">
        <v>55000</v>
      </c>
      <c r="F16" s="8">
        <f t="shared" si="0"/>
        <v>2291.6666666666665</v>
      </c>
      <c r="G16" t="s">
        <v>65</v>
      </c>
      <c r="H16" t="s">
        <v>511</v>
      </c>
    </row>
    <row r="17" spans="1:8">
      <c r="A17" t="s">
        <v>95</v>
      </c>
      <c r="B17" t="s">
        <v>83</v>
      </c>
      <c r="C17" t="s">
        <v>74</v>
      </c>
      <c r="D17" t="s">
        <v>96</v>
      </c>
      <c r="E17" s="6">
        <v>75000</v>
      </c>
      <c r="F17" s="8">
        <f t="shared" si="0"/>
        <v>3125</v>
      </c>
      <c r="G17" t="s">
        <v>65</v>
      </c>
      <c r="H17" t="s">
        <v>511</v>
      </c>
    </row>
    <row r="18" spans="1:8">
      <c r="A18" t="s">
        <v>97</v>
      </c>
      <c r="B18" t="s">
        <v>83</v>
      </c>
      <c r="C18" t="s">
        <v>74</v>
      </c>
      <c r="D18" t="s">
        <v>98</v>
      </c>
      <c r="E18" s="6">
        <v>20000</v>
      </c>
      <c r="F18" s="8">
        <f t="shared" si="0"/>
        <v>833.33333333333337</v>
      </c>
      <c r="G18" t="s">
        <v>65</v>
      </c>
      <c r="H18" t="s">
        <v>511</v>
      </c>
    </row>
    <row r="19" spans="1:8">
      <c r="A19" t="s">
        <v>99</v>
      </c>
      <c r="B19" t="s">
        <v>83</v>
      </c>
      <c r="C19" t="s">
        <v>74</v>
      </c>
      <c r="D19" t="s">
        <v>100</v>
      </c>
      <c r="E19" s="6">
        <v>25000</v>
      </c>
      <c r="F19" s="8">
        <f t="shared" si="0"/>
        <v>1041.6666666666667</v>
      </c>
      <c r="G19" t="s">
        <v>65</v>
      </c>
      <c r="H19" t="s">
        <v>511</v>
      </c>
    </row>
    <row r="20" spans="1:8">
      <c r="A20" t="s">
        <v>101</v>
      </c>
      <c r="B20" t="s">
        <v>83</v>
      </c>
      <c r="C20" t="s">
        <v>74</v>
      </c>
      <c r="D20" t="s">
        <v>102</v>
      </c>
      <c r="E20" s="6">
        <v>15000</v>
      </c>
      <c r="F20" s="8">
        <f t="shared" si="0"/>
        <v>625</v>
      </c>
      <c r="G20" t="s">
        <v>65</v>
      </c>
      <c r="H20" t="s">
        <v>511</v>
      </c>
    </row>
    <row r="21" spans="1:8">
      <c r="A21" t="s">
        <v>103</v>
      </c>
      <c r="B21" t="s">
        <v>83</v>
      </c>
      <c r="C21" t="s">
        <v>74</v>
      </c>
      <c r="D21" t="s">
        <v>104</v>
      </c>
      <c r="E21" s="6">
        <v>0</v>
      </c>
      <c r="F21" s="8">
        <f t="shared" si="0"/>
        <v>0</v>
      </c>
      <c r="G21" t="s">
        <v>70</v>
      </c>
    </row>
    <row r="22" spans="1:8">
      <c r="A22" t="s">
        <v>105</v>
      </c>
      <c r="B22" t="s">
        <v>83</v>
      </c>
      <c r="C22" t="s">
        <v>74</v>
      </c>
      <c r="D22" t="s">
        <v>106</v>
      </c>
      <c r="E22" s="6">
        <v>20000</v>
      </c>
      <c r="F22" s="8">
        <f t="shared" si="0"/>
        <v>833.33333333333337</v>
      </c>
      <c r="G22" t="s">
        <v>65</v>
      </c>
      <c r="H22" t="s">
        <v>511</v>
      </c>
    </row>
    <row r="23" spans="1:8">
      <c r="A23" t="s">
        <v>107</v>
      </c>
      <c r="B23" t="s">
        <v>83</v>
      </c>
      <c r="C23" t="s">
        <v>74</v>
      </c>
      <c r="D23" t="s">
        <v>108</v>
      </c>
      <c r="E23" s="6">
        <v>15000</v>
      </c>
      <c r="F23" s="8">
        <f t="shared" si="0"/>
        <v>625</v>
      </c>
      <c r="G23" t="s">
        <v>65</v>
      </c>
      <c r="H23" t="s">
        <v>511</v>
      </c>
    </row>
    <row r="24" spans="1:8">
      <c r="A24" t="s">
        <v>109</v>
      </c>
      <c r="B24" t="s">
        <v>83</v>
      </c>
      <c r="C24" t="s">
        <v>74</v>
      </c>
      <c r="D24" t="s">
        <v>110</v>
      </c>
      <c r="E24" s="6">
        <v>10000</v>
      </c>
      <c r="F24" s="8">
        <f t="shared" si="0"/>
        <v>416.66666666666669</v>
      </c>
      <c r="G24" t="s">
        <v>65</v>
      </c>
      <c r="H24" t="s">
        <v>511</v>
      </c>
    </row>
    <row r="25" spans="1:8">
      <c r="A25" t="s">
        <v>111</v>
      </c>
      <c r="B25" t="s">
        <v>83</v>
      </c>
      <c r="C25" t="s">
        <v>112</v>
      </c>
      <c r="D25" t="s">
        <v>113</v>
      </c>
      <c r="E25" s="6">
        <v>18000</v>
      </c>
      <c r="F25" s="8">
        <f t="shared" si="0"/>
        <v>750</v>
      </c>
      <c r="G25" t="s">
        <v>65</v>
      </c>
      <c r="H25" t="s">
        <v>511</v>
      </c>
    </row>
    <row r="26" spans="1:8">
      <c r="A26" t="s">
        <v>114</v>
      </c>
      <c r="B26" t="s">
        <v>83</v>
      </c>
      <c r="C26" t="s">
        <v>112</v>
      </c>
      <c r="D26" t="s">
        <v>115</v>
      </c>
      <c r="E26" s="6">
        <v>22000</v>
      </c>
      <c r="F26" s="8">
        <f t="shared" si="0"/>
        <v>916.66666666666663</v>
      </c>
      <c r="G26" t="s">
        <v>65</v>
      </c>
      <c r="H26" t="s">
        <v>511</v>
      </c>
    </row>
    <row r="27" spans="1:8">
      <c r="A27" t="s">
        <v>116</v>
      </c>
      <c r="B27" t="s">
        <v>83</v>
      </c>
      <c r="C27" t="s">
        <v>112</v>
      </c>
      <c r="D27" t="s">
        <v>117</v>
      </c>
      <c r="E27" s="6">
        <v>12000</v>
      </c>
      <c r="F27" s="8">
        <f t="shared" si="0"/>
        <v>500</v>
      </c>
      <c r="G27" t="s">
        <v>65</v>
      </c>
      <c r="H27" t="s">
        <v>511</v>
      </c>
    </row>
    <row r="28" spans="1:8">
      <c r="A28" t="s">
        <v>118</v>
      </c>
      <c r="B28" t="s">
        <v>83</v>
      </c>
      <c r="C28" t="s">
        <v>112</v>
      </c>
      <c r="D28" t="s">
        <v>119</v>
      </c>
      <c r="E28" s="6">
        <v>22000</v>
      </c>
      <c r="F28" s="8">
        <f t="shared" si="0"/>
        <v>916.66666666666663</v>
      </c>
      <c r="G28" t="s">
        <v>65</v>
      </c>
      <c r="H28" t="s">
        <v>511</v>
      </c>
    </row>
    <row r="29" spans="1:8">
      <c r="A29" t="s">
        <v>120</v>
      </c>
      <c r="B29" t="s">
        <v>83</v>
      </c>
      <c r="C29" t="s">
        <v>112</v>
      </c>
      <c r="D29" t="s">
        <v>121</v>
      </c>
      <c r="E29" s="6">
        <v>0</v>
      </c>
      <c r="F29" s="8">
        <f t="shared" si="0"/>
        <v>0</v>
      </c>
      <c r="G29" t="s">
        <v>70</v>
      </c>
    </row>
    <row r="30" spans="1:8">
      <c r="A30" t="s">
        <v>122</v>
      </c>
      <c r="B30" t="s">
        <v>83</v>
      </c>
      <c r="C30" t="s">
        <v>74</v>
      </c>
      <c r="D30" t="s">
        <v>123</v>
      </c>
      <c r="E30" s="6">
        <v>10000</v>
      </c>
      <c r="F30" s="8">
        <f t="shared" si="0"/>
        <v>416.66666666666669</v>
      </c>
      <c r="G30" t="s">
        <v>65</v>
      </c>
      <c r="H30" t="s">
        <v>511</v>
      </c>
    </row>
    <row r="31" spans="1:8">
      <c r="A31" t="s">
        <v>124</v>
      </c>
      <c r="B31" t="s">
        <v>83</v>
      </c>
      <c r="C31" t="s">
        <v>74</v>
      </c>
      <c r="D31" t="s">
        <v>125</v>
      </c>
      <c r="E31" s="6">
        <v>7500</v>
      </c>
      <c r="F31" s="8">
        <f t="shared" si="0"/>
        <v>312.5</v>
      </c>
      <c r="G31" t="s">
        <v>65</v>
      </c>
      <c r="H31" t="s">
        <v>511</v>
      </c>
    </row>
    <row r="32" spans="1:8">
      <c r="A32" t="s">
        <v>126</v>
      </c>
      <c r="B32" t="s">
        <v>83</v>
      </c>
      <c r="C32" t="s">
        <v>74</v>
      </c>
      <c r="D32" t="s">
        <v>127</v>
      </c>
      <c r="E32" s="6">
        <v>48000</v>
      </c>
      <c r="F32" s="8">
        <f t="shared" si="0"/>
        <v>2000</v>
      </c>
      <c r="G32" t="s">
        <v>65</v>
      </c>
      <c r="H32" t="s">
        <v>511</v>
      </c>
    </row>
    <row r="33" spans="1:8">
      <c r="A33" t="s">
        <v>128</v>
      </c>
      <c r="B33" t="s">
        <v>83</v>
      </c>
      <c r="C33" t="s">
        <v>129</v>
      </c>
      <c r="D33" t="s">
        <v>130</v>
      </c>
      <c r="E33" s="6">
        <v>0</v>
      </c>
      <c r="F33" s="8">
        <f t="shared" si="0"/>
        <v>0</v>
      </c>
      <c r="G33" t="s">
        <v>70</v>
      </c>
    </row>
    <row r="34" spans="1:8">
      <c r="A34" t="s">
        <v>131</v>
      </c>
      <c r="B34" t="s">
        <v>83</v>
      </c>
      <c r="C34" t="s">
        <v>74</v>
      </c>
      <c r="D34" t="s">
        <v>132</v>
      </c>
      <c r="E34" s="6">
        <v>12500</v>
      </c>
      <c r="F34" s="8">
        <f t="shared" si="0"/>
        <v>520.83333333333337</v>
      </c>
      <c r="G34" t="s">
        <v>65</v>
      </c>
      <c r="H34" t="s">
        <v>511</v>
      </c>
    </row>
    <row r="35" spans="1:8">
      <c r="A35" t="s">
        <v>133</v>
      </c>
      <c r="B35" t="s">
        <v>134</v>
      </c>
      <c r="C35" t="s">
        <v>135</v>
      </c>
      <c r="D35" t="s">
        <v>136</v>
      </c>
      <c r="E35" s="6">
        <v>95000</v>
      </c>
      <c r="F35" s="8">
        <f t="shared" si="0"/>
        <v>3958.3333333333335</v>
      </c>
      <c r="G35" t="s">
        <v>65</v>
      </c>
      <c r="H35" t="s">
        <v>511</v>
      </c>
    </row>
    <row r="36" spans="1:8">
      <c r="A36" t="s">
        <v>137</v>
      </c>
      <c r="B36" t="s">
        <v>134</v>
      </c>
      <c r="C36" t="s">
        <v>135</v>
      </c>
      <c r="D36" t="s">
        <v>138</v>
      </c>
      <c r="E36" s="6">
        <v>55000</v>
      </c>
      <c r="F36" s="8">
        <f t="shared" si="0"/>
        <v>2291.6666666666665</v>
      </c>
      <c r="G36" t="s">
        <v>65</v>
      </c>
      <c r="H36" t="s">
        <v>511</v>
      </c>
    </row>
    <row r="37" spans="1:8">
      <c r="A37" t="s">
        <v>139</v>
      </c>
      <c r="B37" t="s">
        <v>134</v>
      </c>
      <c r="C37" t="s">
        <v>135</v>
      </c>
      <c r="D37" t="s">
        <v>140</v>
      </c>
      <c r="E37" s="6">
        <v>12000</v>
      </c>
      <c r="F37" s="8">
        <f t="shared" si="0"/>
        <v>500</v>
      </c>
      <c r="G37" t="s">
        <v>65</v>
      </c>
      <c r="H37" t="s">
        <v>511</v>
      </c>
    </row>
    <row r="38" spans="1:8">
      <c r="A38" t="s">
        <v>141</v>
      </c>
      <c r="B38" t="s">
        <v>134</v>
      </c>
      <c r="C38" t="s">
        <v>135</v>
      </c>
      <c r="D38" t="s">
        <v>142</v>
      </c>
      <c r="E38" s="6">
        <v>0</v>
      </c>
      <c r="F38" s="8">
        <f t="shared" si="0"/>
        <v>0</v>
      </c>
      <c r="G38" t="s">
        <v>70</v>
      </c>
    </row>
    <row r="39" spans="1:8">
      <c r="A39" t="s">
        <v>143</v>
      </c>
      <c r="B39" t="s">
        <v>134</v>
      </c>
      <c r="C39" t="s">
        <v>135</v>
      </c>
      <c r="D39" t="s">
        <v>144</v>
      </c>
      <c r="E39" s="6">
        <v>18000</v>
      </c>
      <c r="F39" s="8">
        <f t="shared" si="0"/>
        <v>750</v>
      </c>
      <c r="G39" t="s">
        <v>65</v>
      </c>
      <c r="H39" t="s">
        <v>511</v>
      </c>
    </row>
    <row r="40" spans="1:8">
      <c r="A40" t="s">
        <v>145</v>
      </c>
      <c r="B40" t="s">
        <v>134</v>
      </c>
      <c r="C40" t="s">
        <v>135</v>
      </c>
      <c r="D40" t="s">
        <v>146</v>
      </c>
      <c r="E40" s="6">
        <v>9000</v>
      </c>
      <c r="F40" s="8">
        <f t="shared" si="0"/>
        <v>375</v>
      </c>
      <c r="G40" t="s">
        <v>65</v>
      </c>
      <c r="H40" t="s">
        <v>511</v>
      </c>
    </row>
    <row r="41" spans="1:8">
      <c r="A41" t="s">
        <v>147</v>
      </c>
      <c r="B41" t="s">
        <v>134</v>
      </c>
      <c r="C41" t="s">
        <v>135</v>
      </c>
      <c r="D41" t="s">
        <v>148</v>
      </c>
      <c r="E41" s="6">
        <v>0</v>
      </c>
      <c r="F41" s="8">
        <f t="shared" si="0"/>
        <v>0</v>
      </c>
      <c r="G41" t="s">
        <v>70</v>
      </c>
    </row>
    <row r="42" spans="1:8">
      <c r="A42" t="s">
        <v>149</v>
      </c>
      <c r="B42" t="s">
        <v>134</v>
      </c>
      <c r="C42" t="s">
        <v>150</v>
      </c>
      <c r="D42" t="s">
        <v>151</v>
      </c>
      <c r="E42" s="6">
        <v>36000</v>
      </c>
      <c r="F42" s="8">
        <f t="shared" si="0"/>
        <v>1500</v>
      </c>
      <c r="G42" t="s">
        <v>65</v>
      </c>
      <c r="H42" t="s">
        <v>511</v>
      </c>
    </row>
    <row r="43" spans="1:8">
      <c r="A43" t="s">
        <v>152</v>
      </c>
      <c r="B43" t="s">
        <v>134</v>
      </c>
      <c r="C43" t="s">
        <v>135</v>
      </c>
      <c r="D43" t="s">
        <v>153</v>
      </c>
      <c r="E43" s="6">
        <v>0</v>
      </c>
      <c r="F43" s="8">
        <f t="shared" si="0"/>
        <v>0</v>
      </c>
      <c r="G43" t="s">
        <v>70</v>
      </c>
    </row>
    <row r="44" spans="1:8">
      <c r="A44" t="s">
        <v>154</v>
      </c>
      <c r="B44" t="s">
        <v>134</v>
      </c>
      <c r="C44" t="s">
        <v>150</v>
      </c>
      <c r="D44" t="s">
        <v>155</v>
      </c>
      <c r="E44" s="6">
        <v>30000</v>
      </c>
      <c r="F44" s="8">
        <f t="shared" si="0"/>
        <v>1250</v>
      </c>
      <c r="G44" t="s">
        <v>65</v>
      </c>
      <c r="H44" t="s">
        <v>511</v>
      </c>
    </row>
    <row r="45" spans="1:8">
      <c r="A45" t="s">
        <v>156</v>
      </c>
      <c r="B45" t="s">
        <v>134</v>
      </c>
      <c r="C45" t="s">
        <v>150</v>
      </c>
      <c r="D45" t="s">
        <v>157</v>
      </c>
      <c r="E45" s="6">
        <v>0</v>
      </c>
      <c r="F45" s="8">
        <f t="shared" si="0"/>
        <v>0</v>
      </c>
      <c r="G45" t="s">
        <v>70</v>
      </c>
    </row>
    <row r="46" spans="1:8">
      <c r="A46" t="s">
        <v>158</v>
      </c>
      <c r="B46" t="s">
        <v>134</v>
      </c>
      <c r="C46" t="s">
        <v>159</v>
      </c>
      <c r="D46" t="s">
        <v>160</v>
      </c>
      <c r="E46" s="6">
        <v>20000</v>
      </c>
      <c r="F46" s="8">
        <f t="shared" si="0"/>
        <v>833.33333333333337</v>
      </c>
      <c r="G46" t="s">
        <v>65</v>
      </c>
      <c r="H46" t="s">
        <v>511</v>
      </c>
    </row>
    <row r="47" spans="1:8">
      <c r="A47" t="s">
        <v>161</v>
      </c>
      <c r="B47" t="s">
        <v>134</v>
      </c>
      <c r="C47" t="s">
        <v>162</v>
      </c>
      <c r="D47" t="s">
        <v>163</v>
      </c>
      <c r="E47" s="6">
        <v>34000</v>
      </c>
      <c r="F47" s="8">
        <f t="shared" si="0"/>
        <v>1416.6666666666667</v>
      </c>
      <c r="G47" t="s">
        <v>65</v>
      </c>
      <c r="H47" t="s">
        <v>511</v>
      </c>
    </row>
    <row r="48" spans="1:8">
      <c r="A48" t="s">
        <v>164</v>
      </c>
      <c r="B48" t="s">
        <v>134</v>
      </c>
      <c r="C48" t="s">
        <v>162</v>
      </c>
      <c r="D48" t="s">
        <v>165</v>
      </c>
      <c r="E48" s="6">
        <v>0</v>
      </c>
      <c r="F48" s="8">
        <f t="shared" si="0"/>
        <v>0</v>
      </c>
      <c r="G48" t="s">
        <v>70</v>
      </c>
    </row>
    <row r="49" spans="1:8">
      <c r="A49" t="s">
        <v>166</v>
      </c>
      <c r="B49" t="s">
        <v>134</v>
      </c>
      <c r="C49" t="s">
        <v>162</v>
      </c>
      <c r="D49" t="s">
        <v>167</v>
      </c>
      <c r="E49" s="6">
        <v>28000</v>
      </c>
      <c r="F49" s="8">
        <f t="shared" si="0"/>
        <v>1166.6666666666667</v>
      </c>
      <c r="G49" t="s">
        <v>65</v>
      </c>
      <c r="H49" t="s">
        <v>511</v>
      </c>
    </row>
    <row r="50" spans="1:8">
      <c r="A50" t="s">
        <v>168</v>
      </c>
      <c r="B50" t="s">
        <v>134</v>
      </c>
      <c r="C50" t="s">
        <v>162</v>
      </c>
      <c r="D50" t="s">
        <v>169</v>
      </c>
      <c r="E50" s="6">
        <v>18000</v>
      </c>
      <c r="F50" s="8">
        <f t="shared" si="0"/>
        <v>750</v>
      </c>
      <c r="G50" t="s">
        <v>65</v>
      </c>
      <c r="H50" t="s">
        <v>511</v>
      </c>
    </row>
    <row r="51" spans="1:8">
      <c r="A51" t="s">
        <v>170</v>
      </c>
      <c r="B51" t="s">
        <v>134</v>
      </c>
      <c r="C51" t="s">
        <v>162</v>
      </c>
      <c r="D51" t="s">
        <v>171</v>
      </c>
      <c r="E51" s="6">
        <v>10000</v>
      </c>
      <c r="F51" s="8">
        <f t="shared" si="0"/>
        <v>416.66666666666669</v>
      </c>
      <c r="G51" t="s">
        <v>65</v>
      </c>
      <c r="H51" t="s">
        <v>511</v>
      </c>
    </row>
    <row r="52" spans="1:8">
      <c r="A52" t="s">
        <v>172</v>
      </c>
      <c r="B52" t="s">
        <v>134</v>
      </c>
      <c r="C52" t="s">
        <v>162</v>
      </c>
      <c r="D52" t="s">
        <v>173</v>
      </c>
      <c r="E52" s="6">
        <v>0</v>
      </c>
      <c r="F52" s="8">
        <f t="shared" si="0"/>
        <v>0</v>
      </c>
      <c r="G52" t="s">
        <v>70</v>
      </c>
    </row>
    <row r="53" spans="1:8">
      <c r="A53" t="s">
        <v>174</v>
      </c>
      <c r="B53" t="s">
        <v>134</v>
      </c>
      <c r="C53" t="s">
        <v>175</v>
      </c>
      <c r="D53" t="s">
        <v>176</v>
      </c>
      <c r="E53" s="6">
        <v>22000</v>
      </c>
      <c r="F53" s="8">
        <f t="shared" si="0"/>
        <v>916.66666666666663</v>
      </c>
      <c r="G53" t="s">
        <v>65</v>
      </c>
      <c r="H53" t="s">
        <v>511</v>
      </c>
    </row>
    <row r="54" spans="1:8">
      <c r="A54" t="s">
        <v>177</v>
      </c>
      <c r="B54" t="s">
        <v>134</v>
      </c>
      <c r="C54" t="s">
        <v>159</v>
      </c>
      <c r="D54" t="s">
        <v>178</v>
      </c>
      <c r="E54" s="6">
        <v>0</v>
      </c>
      <c r="F54" s="8">
        <f t="shared" si="0"/>
        <v>0</v>
      </c>
      <c r="G54" t="s">
        <v>70</v>
      </c>
    </row>
    <row r="55" spans="1:8">
      <c r="A55" t="s">
        <v>179</v>
      </c>
      <c r="B55" t="s">
        <v>134</v>
      </c>
      <c r="C55" t="s">
        <v>180</v>
      </c>
      <c r="D55" t="s">
        <v>181</v>
      </c>
      <c r="E55" s="6">
        <v>18000</v>
      </c>
      <c r="F55" s="8">
        <f t="shared" si="0"/>
        <v>750</v>
      </c>
      <c r="G55" t="s">
        <v>65</v>
      </c>
      <c r="H55" t="s">
        <v>511</v>
      </c>
    </row>
    <row r="56" spans="1:8">
      <c r="A56" t="s">
        <v>182</v>
      </c>
      <c r="B56" t="s">
        <v>134</v>
      </c>
      <c r="C56" t="s">
        <v>180</v>
      </c>
      <c r="D56" t="s">
        <v>183</v>
      </c>
      <c r="E56" s="6">
        <v>7500</v>
      </c>
      <c r="F56" s="8">
        <f t="shared" si="0"/>
        <v>312.5</v>
      </c>
      <c r="G56" t="s">
        <v>65</v>
      </c>
      <c r="H56" t="s">
        <v>511</v>
      </c>
    </row>
    <row r="57" spans="1:8">
      <c r="A57" t="s">
        <v>184</v>
      </c>
      <c r="B57" t="s">
        <v>134</v>
      </c>
      <c r="C57" t="s">
        <v>180</v>
      </c>
      <c r="D57" t="s">
        <v>185</v>
      </c>
      <c r="E57" s="6">
        <v>0</v>
      </c>
      <c r="F57" s="8">
        <f t="shared" si="0"/>
        <v>0</v>
      </c>
      <c r="G57" t="s">
        <v>70</v>
      </c>
    </row>
    <row r="58" spans="1:8">
      <c r="A58" t="s">
        <v>186</v>
      </c>
      <c r="B58" t="s">
        <v>134</v>
      </c>
      <c r="C58" t="s">
        <v>180</v>
      </c>
      <c r="D58" t="s">
        <v>187</v>
      </c>
      <c r="E58" s="6">
        <v>0</v>
      </c>
      <c r="F58" s="8">
        <f t="shared" si="0"/>
        <v>0</v>
      </c>
      <c r="G58" t="s">
        <v>70</v>
      </c>
    </row>
    <row r="59" spans="1:8">
      <c r="A59" t="s">
        <v>188</v>
      </c>
      <c r="B59" t="s">
        <v>134</v>
      </c>
      <c r="C59" t="s">
        <v>162</v>
      </c>
      <c r="D59" t="s">
        <v>189</v>
      </c>
      <c r="E59" s="6">
        <v>8000</v>
      </c>
      <c r="F59" s="8">
        <f t="shared" si="0"/>
        <v>333.33333333333331</v>
      </c>
      <c r="G59" t="s">
        <v>65</v>
      </c>
      <c r="H59" t="s">
        <v>511</v>
      </c>
    </row>
    <row r="60" spans="1:8">
      <c r="A60" t="s">
        <v>190</v>
      </c>
      <c r="B60" t="s">
        <v>134</v>
      </c>
      <c r="C60" t="s">
        <v>162</v>
      </c>
      <c r="D60" t="s">
        <v>191</v>
      </c>
      <c r="E60" s="6">
        <v>15000</v>
      </c>
      <c r="F60" s="8">
        <f t="shared" si="0"/>
        <v>625</v>
      </c>
      <c r="G60" t="s">
        <v>65</v>
      </c>
      <c r="H60" t="s">
        <v>511</v>
      </c>
    </row>
    <row r="61" spans="1:8">
      <c r="A61" t="s">
        <v>192</v>
      </c>
      <c r="B61" t="s">
        <v>134</v>
      </c>
      <c r="C61" t="s">
        <v>175</v>
      </c>
      <c r="D61" t="s">
        <v>193</v>
      </c>
      <c r="E61" s="6">
        <v>0</v>
      </c>
      <c r="F61" s="8">
        <f t="shared" si="0"/>
        <v>0</v>
      </c>
      <c r="G61" t="s">
        <v>70</v>
      </c>
    </row>
    <row r="62" spans="1:8">
      <c r="A62" t="s">
        <v>194</v>
      </c>
      <c r="B62" t="s">
        <v>134</v>
      </c>
      <c r="C62" t="s">
        <v>162</v>
      </c>
      <c r="D62" t="s">
        <v>195</v>
      </c>
      <c r="E62" s="6">
        <v>12000</v>
      </c>
      <c r="F62" s="8">
        <f t="shared" si="0"/>
        <v>500</v>
      </c>
      <c r="G62" t="s">
        <v>65</v>
      </c>
      <c r="H62" t="s">
        <v>511</v>
      </c>
    </row>
    <row r="63" spans="1:8">
      <c r="A63" t="s">
        <v>196</v>
      </c>
      <c r="B63" t="s">
        <v>134</v>
      </c>
      <c r="C63" t="s">
        <v>175</v>
      </c>
      <c r="D63" t="s">
        <v>197</v>
      </c>
      <c r="E63" s="6">
        <v>0</v>
      </c>
      <c r="F63" s="8">
        <f t="shared" si="0"/>
        <v>0</v>
      </c>
      <c r="G63" t="s">
        <v>70</v>
      </c>
    </row>
    <row r="64" spans="1:8">
      <c r="A64" t="s">
        <v>198</v>
      </c>
      <c r="B64" t="s">
        <v>134</v>
      </c>
      <c r="C64" t="s">
        <v>175</v>
      </c>
      <c r="D64" t="s">
        <v>199</v>
      </c>
      <c r="E64" s="6">
        <v>0</v>
      </c>
      <c r="F64" s="8">
        <f t="shared" si="0"/>
        <v>0</v>
      </c>
      <c r="G64" t="s">
        <v>70</v>
      </c>
    </row>
    <row r="65" spans="1:8">
      <c r="A65" t="s">
        <v>200</v>
      </c>
      <c r="B65" t="s">
        <v>134</v>
      </c>
      <c r="C65" t="s">
        <v>175</v>
      </c>
      <c r="D65" t="s">
        <v>201</v>
      </c>
      <c r="E65" s="6">
        <v>0</v>
      </c>
      <c r="F65" s="8">
        <f t="shared" si="0"/>
        <v>0</v>
      </c>
      <c r="G65" t="s">
        <v>70</v>
      </c>
    </row>
    <row r="66" spans="1:8">
      <c r="A66" t="s">
        <v>202</v>
      </c>
      <c r="B66" t="s">
        <v>134</v>
      </c>
      <c r="C66" t="s">
        <v>175</v>
      </c>
      <c r="D66" t="s">
        <v>203</v>
      </c>
      <c r="E66" s="6">
        <v>10000</v>
      </c>
      <c r="F66" s="8">
        <f t="shared" si="0"/>
        <v>416.66666666666669</v>
      </c>
      <c r="G66" t="s">
        <v>65</v>
      </c>
      <c r="H66" t="s">
        <v>511</v>
      </c>
    </row>
    <row r="67" spans="1:8">
      <c r="A67" t="s">
        <v>204</v>
      </c>
      <c r="B67" t="s">
        <v>134</v>
      </c>
      <c r="C67" t="s">
        <v>175</v>
      </c>
      <c r="D67" t="s">
        <v>205</v>
      </c>
      <c r="E67" s="6">
        <v>0</v>
      </c>
      <c r="F67" s="8">
        <f t="shared" si="0"/>
        <v>0</v>
      </c>
      <c r="G67" t="s">
        <v>70</v>
      </c>
    </row>
    <row r="68" spans="1:8">
      <c r="A68" t="s">
        <v>206</v>
      </c>
      <c r="B68" t="s">
        <v>134</v>
      </c>
      <c r="C68" t="s">
        <v>175</v>
      </c>
      <c r="D68" t="s">
        <v>207</v>
      </c>
      <c r="E68" s="6">
        <v>14000</v>
      </c>
      <c r="F68" s="8">
        <f t="shared" ref="F68:F131" si="1">IF(E68=0,0,E68/24)</f>
        <v>583.33333333333337</v>
      </c>
      <c r="G68" t="s">
        <v>65</v>
      </c>
      <c r="H68" t="s">
        <v>511</v>
      </c>
    </row>
    <row r="69" spans="1:8">
      <c r="A69" t="s">
        <v>208</v>
      </c>
      <c r="B69" t="s">
        <v>134</v>
      </c>
      <c r="C69" t="s">
        <v>162</v>
      </c>
      <c r="D69" t="s">
        <v>209</v>
      </c>
      <c r="E69" s="6">
        <v>15000</v>
      </c>
      <c r="F69" s="8">
        <f t="shared" si="1"/>
        <v>625</v>
      </c>
      <c r="G69" t="s">
        <v>65</v>
      </c>
      <c r="H69" t="s">
        <v>511</v>
      </c>
    </row>
    <row r="70" spans="1:8">
      <c r="A70" t="s">
        <v>210</v>
      </c>
      <c r="B70" t="s">
        <v>134</v>
      </c>
      <c r="C70" t="s">
        <v>150</v>
      </c>
      <c r="D70" t="s">
        <v>211</v>
      </c>
      <c r="E70" s="6">
        <v>0</v>
      </c>
      <c r="F70" s="8">
        <f t="shared" si="1"/>
        <v>0</v>
      </c>
      <c r="G70" t="s">
        <v>70</v>
      </c>
    </row>
    <row r="71" spans="1:8">
      <c r="A71" t="s">
        <v>212</v>
      </c>
      <c r="B71" t="s">
        <v>134</v>
      </c>
      <c r="C71" t="s">
        <v>213</v>
      </c>
      <c r="D71" t="s">
        <v>214</v>
      </c>
      <c r="E71" s="6">
        <v>30000</v>
      </c>
      <c r="F71" s="8">
        <f t="shared" si="1"/>
        <v>1250</v>
      </c>
      <c r="G71" t="s">
        <v>65</v>
      </c>
      <c r="H71" t="s">
        <v>512</v>
      </c>
    </row>
    <row r="72" spans="1:8">
      <c r="A72" t="s">
        <v>215</v>
      </c>
      <c r="B72" t="s">
        <v>216</v>
      </c>
      <c r="C72" t="s">
        <v>159</v>
      </c>
      <c r="D72" t="s">
        <v>217</v>
      </c>
      <c r="E72" s="6">
        <v>120000</v>
      </c>
      <c r="F72" s="8">
        <f t="shared" si="1"/>
        <v>5000</v>
      </c>
      <c r="G72" t="s">
        <v>65</v>
      </c>
      <c r="H72" t="s">
        <v>513</v>
      </c>
    </row>
    <row r="73" spans="1:8">
      <c r="A73" t="s">
        <v>218</v>
      </c>
      <c r="B73" t="s">
        <v>216</v>
      </c>
      <c r="C73" t="s">
        <v>159</v>
      </c>
      <c r="D73" t="s">
        <v>219</v>
      </c>
      <c r="E73" s="6">
        <v>35000</v>
      </c>
      <c r="F73" s="8">
        <f t="shared" si="1"/>
        <v>1458.3333333333333</v>
      </c>
      <c r="G73" t="s">
        <v>65</v>
      </c>
      <c r="H73" t="s">
        <v>511</v>
      </c>
    </row>
    <row r="74" spans="1:8">
      <c r="A74" t="s">
        <v>220</v>
      </c>
      <c r="B74" t="s">
        <v>216</v>
      </c>
      <c r="C74" t="s">
        <v>159</v>
      </c>
      <c r="D74" t="s">
        <v>221</v>
      </c>
      <c r="E74" s="6">
        <v>55000</v>
      </c>
      <c r="F74" s="8">
        <f t="shared" si="1"/>
        <v>2291.6666666666665</v>
      </c>
      <c r="G74" t="s">
        <v>65</v>
      </c>
      <c r="H74" t="s">
        <v>511</v>
      </c>
    </row>
    <row r="75" spans="1:8">
      <c r="A75" t="s">
        <v>222</v>
      </c>
      <c r="B75" t="s">
        <v>216</v>
      </c>
      <c r="C75" t="s">
        <v>159</v>
      </c>
      <c r="D75" t="s">
        <v>223</v>
      </c>
      <c r="E75" s="6">
        <v>0</v>
      </c>
      <c r="F75" s="8">
        <f t="shared" si="1"/>
        <v>0</v>
      </c>
      <c r="G75" t="s">
        <v>70</v>
      </c>
    </row>
    <row r="76" spans="1:8">
      <c r="A76" t="s">
        <v>224</v>
      </c>
      <c r="B76" t="s">
        <v>216</v>
      </c>
      <c r="C76" t="s">
        <v>159</v>
      </c>
      <c r="D76" t="s">
        <v>225</v>
      </c>
      <c r="E76" s="6">
        <v>0</v>
      </c>
      <c r="F76" s="8">
        <f t="shared" si="1"/>
        <v>0</v>
      </c>
      <c r="G76" t="s">
        <v>70</v>
      </c>
    </row>
    <row r="77" spans="1:8">
      <c r="A77" t="s">
        <v>226</v>
      </c>
      <c r="B77" t="s">
        <v>216</v>
      </c>
      <c r="C77" t="s">
        <v>159</v>
      </c>
      <c r="D77" t="s">
        <v>227</v>
      </c>
      <c r="E77" s="6">
        <v>0</v>
      </c>
      <c r="F77" s="8">
        <f t="shared" si="1"/>
        <v>0</v>
      </c>
      <c r="G77" t="s">
        <v>70</v>
      </c>
    </row>
    <row r="78" spans="1:8">
      <c r="A78" t="s">
        <v>228</v>
      </c>
      <c r="B78" t="s">
        <v>216</v>
      </c>
      <c r="C78" t="s">
        <v>159</v>
      </c>
      <c r="D78" t="s">
        <v>229</v>
      </c>
      <c r="E78" s="6">
        <v>20000</v>
      </c>
      <c r="F78" s="8">
        <f t="shared" si="1"/>
        <v>833.33333333333337</v>
      </c>
      <c r="G78" t="s">
        <v>65</v>
      </c>
      <c r="H78" t="s">
        <v>511</v>
      </c>
    </row>
    <row r="79" spans="1:8">
      <c r="A79" t="s">
        <v>230</v>
      </c>
      <c r="B79" t="s">
        <v>216</v>
      </c>
      <c r="C79" t="s">
        <v>159</v>
      </c>
      <c r="D79" t="s">
        <v>231</v>
      </c>
      <c r="E79" s="6">
        <v>55000</v>
      </c>
      <c r="F79" s="8">
        <f t="shared" si="1"/>
        <v>2291.6666666666665</v>
      </c>
      <c r="G79" t="s">
        <v>65</v>
      </c>
      <c r="H79" t="s">
        <v>511</v>
      </c>
    </row>
    <row r="80" spans="1:8">
      <c r="A80" t="s">
        <v>232</v>
      </c>
      <c r="B80" t="s">
        <v>216</v>
      </c>
      <c r="C80" t="s">
        <v>159</v>
      </c>
      <c r="D80" t="s">
        <v>233</v>
      </c>
      <c r="E80" s="6">
        <v>0</v>
      </c>
      <c r="F80" s="8">
        <f t="shared" si="1"/>
        <v>0</v>
      </c>
      <c r="G80" t="s">
        <v>70</v>
      </c>
    </row>
    <row r="81" spans="1:8">
      <c r="A81" t="s">
        <v>234</v>
      </c>
      <c r="B81" t="s">
        <v>216</v>
      </c>
      <c r="C81" t="s">
        <v>159</v>
      </c>
      <c r="D81" t="s">
        <v>235</v>
      </c>
      <c r="E81" s="6">
        <v>35000</v>
      </c>
      <c r="F81" s="8">
        <f t="shared" si="1"/>
        <v>1458.3333333333333</v>
      </c>
      <c r="G81" t="s">
        <v>65</v>
      </c>
      <c r="H81" t="s">
        <v>511</v>
      </c>
    </row>
    <row r="82" spans="1:8">
      <c r="A82" t="s">
        <v>236</v>
      </c>
      <c r="B82" t="s">
        <v>216</v>
      </c>
      <c r="C82" t="s">
        <v>159</v>
      </c>
      <c r="D82" t="s">
        <v>237</v>
      </c>
      <c r="E82" s="6">
        <v>15000</v>
      </c>
      <c r="F82" s="8">
        <f t="shared" si="1"/>
        <v>625</v>
      </c>
      <c r="G82" t="s">
        <v>65</v>
      </c>
      <c r="H82" t="s">
        <v>511</v>
      </c>
    </row>
    <row r="83" spans="1:8">
      <c r="A83" t="s">
        <v>238</v>
      </c>
      <c r="B83" t="s">
        <v>216</v>
      </c>
      <c r="C83" t="s">
        <v>159</v>
      </c>
      <c r="D83" t="s">
        <v>239</v>
      </c>
      <c r="E83" s="6">
        <v>15000</v>
      </c>
      <c r="F83" s="8">
        <f t="shared" si="1"/>
        <v>625</v>
      </c>
      <c r="G83" t="s">
        <v>65</v>
      </c>
      <c r="H83" t="s">
        <v>511</v>
      </c>
    </row>
    <row r="84" spans="1:8">
      <c r="A84" t="s">
        <v>240</v>
      </c>
      <c r="B84" t="s">
        <v>216</v>
      </c>
      <c r="C84" t="s">
        <v>159</v>
      </c>
      <c r="D84" t="s">
        <v>241</v>
      </c>
      <c r="E84" s="6">
        <v>36000</v>
      </c>
      <c r="F84" s="8">
        <f t="shared" si="1"/>
        <v>1500</v>
      </c>
      <c r="G84" t="s">
        <v>65</v>
      </c>
      <c r="H84" t="s">
        <v>511</v>
      </c>
    </row>
    <row r="85" spans="1:8">
      <c r="A85" t="s">
        <v>242</v>
      </c>
      <c r="B85" t="s">
        <v>216</v>
      </c>
      <c r="C85" t="s">
        <v>159</v>
      </c>
      <c r="D85" t="s">
        <v>243</v>
      </c>
      <c r="E85" s="6">
        <v>9000</v>
      </c>
      <c r="F85" s="8">
        <f t="shared" si="1"/>
        <v>375</v>
      </c>
      <c r="G85" t="s">
        <v>65</v>
      </c>
      <c r="H85" t="s">
        <v>511</v>
      </c>
    </row>
    <row r="86" spans="1:8">
      <c r="A86" t="s">
        <v>244</v>
      </c>
      <c r="B86" t="s">
        <v>216</v>
      </c>
      <c r="C86" t="s">
        <v>159</v>
      </c>
      <c r="D86" t="s">
        <v>245</v>
      </c>
      <c r="E86" s="6">
        <v>45000</v>
      </c>
      <c r="F86" s="8">
        <f t="shared" si="1"/>
        <v>1875</v>
      </c>
      <c r="G86" t="s">
        <v>65</v>
      </c>
      <c r="H86" t="s">
        <v>511</v>
      </c>
    </row>
    <row r="87" spans="1:8">
      <c r="A87" t="s">
        <v>246</v>
      </c>
      <c r="B87" t="s">
        <v>216</v>
      </c>
      <c r="C87" t="s">
        <v>159</v>
      </c>
      <c r="D87" t="s">
        <v>247</v>
      </c>
      <c r="E87" s="6">
        <v>0</v>
      </c>
      <c r="F87" s="8">
        <f t="shared" si="1"/>
        <v>0</v>
      </c>
      <c r="G87" t="s">
        <v>70</v>
      </c>
    </row>
    <row r="88" spans="1:8">
      <c r="A88" t="s">
        <v>248</v>
      </c>
      <c r="B88" t="s">
        <v>216</v>
      </c>
      <c r="C88" t="s">
        <v>159</v>
      </c>
      <c r="D88" t="s">
        <v>249</v>
      </c>
      <c r="E88" s="6">
        <v>35000</v>
      </c>
      <c r="F88" s="8">
        <f t="shared" si="1"/>
        <v>1458.3333333333333</v>
      </c>
      <c r="G88" t="s">
        <v>65</v>
      </c>
      <c r="H88" t="s">
        <v>511</v>
      </c>
    </row>
    <row r="89" spans="1:8">
      <c r="A89" t="s">
        <v>250</v>
      </c>
      <c r="B89" t="s">
        <v>216</v>
      </c>
      <c r="C89" t="s">
        <v>159</v>
      </c>
      <c r="D89" t="s">
        <v>251</v>
      </c>
      <c r="E89" s="6">
        <v>25000</v>
      </c>
      <c r="F89" s="8">
        <f t="shared" si="1"/>
        <v>1041.6666666666667</v>
      </c>
      <c r="G89" t="s">
        <v>65</v>
      </c>
      <c r="H89" t="s">
        <v>511</v>
      </c>
    </row>
    <row r="90" spans="1:8">
      <c r="A90" t="s">
        <v>252</v>
      </c>
      <c r="B90" t="s">
        <v>253</v>
      </c>
      <c r="C90" t="s">
        <v>254</v>
      </c>
      <c r="D90" t="s">
        <v>255</v>
      </c>
      <c r="E90" s="6">
        <v>95000</v>
      </c>
      <c r="F90" s="8">
        <f t="shared" si="1"/>
        <v>3958.3333333333335</v>
      </c>
      <c r="G90" t="s">
        <v>65</v>
      </c>
      <c r="H90" t="s">
        <v>511</v>
      </c>
    </row>
    <row r="91" spans="1:8">
      <c r="A91" t="s">
        <v>256</v>
      </c>
      <c r="B91" t="s">
        <v>253</v>
      </c>
      <c r="C91" t="s">
        <v>254</v>
      </c>
      <c r="D91" t="s">
        <v>257</v>
      </c>
      <c r="E91" s="6">
        <v>65000</v>
      </c>
      <c r="F91" s="8">
        <f t="shared" si="1"/>
        <v>2708.3333333333335</v>
      </c>
      <c r="G91" t="s">
        <v>65</v>
      </c>
      <c r="H91" t="s">
        <v>511</v>
      </c>
    </row>
    <row r="92" spans="1:8">
      <c r="A92" t="s">
        <v>258</v>
      </c>
      <c r="B92" t="s">
        <v>253</v>
      </c>
      <c r="C92" t="s">
        <v>254</v>
      </c>
      <c r="D92" t="s">
        <v>259</v>
      </c>
      <c r="E92" s="6">
        <v>165000</v>
      </c>
      <c r="F92" s="8">
        <f t="shared" si="1"/>
        <v>6875</v>
      </c>
      <c r="G92" t="s">
        <v>65</v>
      </c>
      <c r="H92" t="s">
        <v>511</v>
      </c>
    </row>
    <row r="93" spans="1:8">
      <c r="A93" t="s">
        <v>260</v>
      </c>
      <c r="B93" t="s">
        <v>253</v>
      </c>
      <c r="C93" t="s">
        <v>254</v>
      </c>
      <c r="D93" t="s">
        <v>261</v>
      </c>
      <c r="E93" s="6">
        <v>42000</v>
      </c>
      <c r="F93" s="8">
        <f t="shared" si="1"/>
        <v>1750</v>
      </c>
      <c r="G93" t="s">
        <v>65</v>
      </c>
      <c r="H93" t="s">
        <v>511</v>
      </c>
    </row>
    <row r="94" spans="1:8">
      <c r="A94" t="s">
        <v>262</v>
      </c>
      <c r="B94" t="s">
        <v>253</v>
      </c>
      <c r="C94" t="s">
        <v>254</v>
      </c>
      <c r="D94" t="s">
        <v>263</v>
      </c>
      <c r="E94" s="6">
        <v>70000</v>
      </c>
      <c r="F94" s="8">
        <f t="shared" si="1"/>
        <v>2916.6666666666665</v>
      </c>
      <c r="G94" t="s">
        <v>65</v>
      </c>
      <c r="H94" t="s">
        <v>511</v>
      </c>
    </row>
    <row r="95" spans="1:8">
      <c r="A95" t="s">
        <v>264</v>
      </c>
      <c r="B95" t="s">
        <v>253</v>
      </c>
      <c r="C95" t="s">
        <v>254</v>
      </c>
      <c r="D95" t="s">
        <v>265</v>
      </c>
      <c r="E95" s="6">
        <v>62000</v>
      </c>
      <c r="F95" s="8">
        <f t="shared" si="1"/>
        <v>2583.3333333333335</v>
      </c>
      <c r="G95" t="s">
        <v>65</v>
      </c>
      <c r="H95" t="s">
        <v>511</v>
      </c>
    </row>
    <row r="96" spans="1:8">
      <c r="A96" t="s">
        <v>266</v>
      </c>
      <c r="B96" t="s">
        <v>253</v>
      </c>
      <c r="C96" t="s">
        <v>254</v>
      </c>
      <c r="D96" t="s">
        <v>267</v>
      </c>
      <c r="E96" s="6">
        <v>25000</v>
      </c>
      <c r="F96" s="8">
        <f t="shared" si="1"/>
        <v>1041.6666666666667</v>
      </c>
      <c r="G96" t="s">
        <v>65</v>
      </c>
      <c r="H96" t="s">
        <v>511</v>
      </c>
    </row>
    <row r="97" spans="1:8">
      <c r="A97" t="s">
        <v>268</v>
      </c>
      <c r="B97" t="s">
        <v>253</v>
      </c>
      <c r="C97" t="s">
        <v>254</v>
      </c>
      <c r="D97" t="s">
        <v>269</v>
      </c>
      <c r="E97" s="6">
        <v>22000</v>
      </c>
      <c r="F97" s="8">
        <f t="shared" si="1"/>
        <v>916.66666666666663</v>
      </c>
      <c r="G97" t="s">
        <v>65</v>
      </c>
      <c r="H97" t="s">
        <v>511</v>
      </c>
    </row>
    <row r="98" spans="1:8">
      <c r="A98" t="s">
        <v>270</v>
      </c>
      <c r="B98" t="s">
        <v>253</v>
      </c>
      <c r="C98" t="s">
        <v>254</v>
      </c>
      <c r="D98" t="s">
        <v>271</v>
      </c>
      <c r="E98" s="6">
        <v>28000</v>
      </c>
      <c r="F98" s="8">
        <f t="shared" si="1"/>
        <v>1166.6666666666667</v>
      </c>
      <c r="G98" t="s">
        <v>65</v>
      </c>
      <c r="H98" t="s">
        <v>511</v>
      </c>
    </row>
    <row r="99" spans="1:8">
      <c r="A99" t="s">
        <v>272</v>
      </c>
      <c r="B99" t="s">
        <v>253</v>
      </c>
      <c r="C99" t="s">
        <v>254</v>
      </c>
      <c r="D99" t="s">
        <v>273</v>
      </c>
      <c r="E99" s="6">
        <v>45000</v>
      </c>
      <c r="F99" s="8">
        <f t="shared" si="1"/>
        <v>1875</v>
      </c>
      <c r="G99" t="s">
        <v>65</v>
      </c>
      <c r="H99" t="s">
        <v>511</v>
      </c>
    </row>
    <row r="100" spans="1:8">
      <c r="A100" t="s">
        <v>274</v>
      </c>
      <c r="B100" t="s">
        <v>253</v>
      </c>
      <c r="C100" t="s">
        <v>254</v>
      </c>
      <c r="D100" t="s">
        <v>275</v>
      </c>
      <c r="E100" s="6">
        <v>62000</v>
      </c>
      <c r="F100" s="8">
        <f t="shared" si="1"/>
        <v>2583.3333333333335</v>
      </c>
      <c r="G100" t="s">
        <v>65</v>
      </c>
      <c r="H100" t="s">
        <v>511</v>
      </c>
    </row>
    <row r="101" spans="1:8">
      <c r="A101" t="s">
        <v>276</v>
      </c>
      <c r="B101" t="s">
        <v>253</v>
      </c>
      <c r="C101" t="s">
        <v>254</v>
      </c>
      <c r="D101" t="s">
        <v>277</v>
      </c>
      <c r="E101" s="6">
        <v>24000</v>
      </c>
      <c r="F101" s="8">
        <f t="shared" si="1"/>
        <v>1000</v>
      </c>
      <c r="G101" t="s">
        <v>65</v>
      </c>
      <c r="H101" t="s">
        <v>511</v>
      </c>
    </row>
    <row r="102" spans="1:8">
      <c r="A102" t="s">
        <v>278</v>
      </c>
      <c r="B102" t="s">
        <v>253</v>
      </c>
      <c r="C102" t="s">
        <v>254</v>
      </c>
      <c r="D102" t="s">
        <v>279</v>
      </c>
      <c r="E102" s="6">
        <v>30000</v>
      </c>
      <c r="F102" s="8">
        <f t="shared" si="1"/>
        <v>1250</v>
      </c>
      <c r="G102" t="s">
        <v>65</v>
      </c>
      <c r="H102" t="s">
        <v>511</v>
      </c>
    </row>
    <row r="103" spans="1:8">
      <c r="A103" t="s">
        <v>280</v>
      </c>
      <c r="B103" t="s">
        <v>253</v>
      </c>
      <c r="C103" t="s">
        <v>254</v>
      </c>
      <c r="D103" t="s">
        <v>281</v>
      </c>
      <c r="E103" s="6">
        <v>32000</v>
      </c>
      <c r="F103" s="8">
        <f t="shared" si="1"/>
        <v>1333.3333333333333</v>
      </c>
      <c r="G103" t="s">
        <v>65</v>
      </c>
      <c r="H103" t="s">
        <v>511</v>
      </c>
    </row>
    <row r="104" spans="1:8">
      <c r="A104" t="s">
        <v>282</v>
      </c>
      <c r="B104" t="s">
        <v>253</v>
      </c>
      <c r="C104" t="s">
        <v>254</v>
      </c>
      <c r="D104" t="s">
        <v>283</v>
      </c>
      <c r="E104" s="6">
        <v>0</v>
      </c>
      <c r="F104" s="8">
        <f t="shared" si="1"/>
        <v>0</v>
      </c>
      <c r="G104" t="s">
        <v>70</v>
      </c>
    </row>
    <row r="105" spans="1:8">
      <c r="A105" t="s">
        <v>284</v>
      </c>
      <c r="B105" t="s">
        <v>253</v>
      </c>
      <c r="C105" t="s">
        <v>254</v>
      </c>
      <c r="D105" t="s">
        <v>285</v>
      </c>
      <c r="E105" s="6">
        <v>48000</v>
      </c>
      <c r="F105" s="8">
        <f t="shared" si="1"/>
        <v>2000</v>
      </c>
      <c r="G105" t="s">
        <v>65</v>
      </c>
      <c r="H105" t="s">
        <v>511</v>
      </c>
    </row>
    <row r="106" spans="1:8">
      <c r="A106" t="s">
        <v>286</v>
      </c>
      <c r="B106" t="s">
        <v>253</v>
      </c>
      <c r="C106" t="s">
        <v>254</v>
      </c>
      <c r="D106" t="s">
        <v>287</v>
      </c>
      <c r="E106" s="6">
        <v>18000</v>
      </c>
      <c r="F106" s="8">
        <f t="shared" si="1"/>
        <v>750</v>
      </c>
      <c r="G106" t="s">
        <v>65</v>
      </c>
      <c r="H106" t="s">
        <v>511</v>
      </c>
    </row>
    <row r="107" spans="1:8">
      <c r="A107" t="s">
        <v>288</v>
      </c>
      <c r="B107" t="s">
        <v>253</v>
      </c>
      <c r="C107" t="s">
        <v>254</v>
      </c>
      <c r="D107" t="s">
        <v>289</v>
      </c>
      <c r="E107" s="6">
        <v>0</v>
      </c>
      <c r="F107" s="8">
        <f t="shared" si="1"/>
        <v>0</v>
      </c>
      <c r="G107" t="s">
        <v>70</v>
      </c>
    </row>
    <row r="108" spans="1:8">
      <c r="A108" t="s">
        <v>290</v>
      </c>
      <c r="B108" t="s">
        <v>253</v>
      </c>
      <c r="C108" t="s">
        <v>254</v>
      </c>
      <c r="D108" t="s">
        <v>291</v>
      </c>
      <c r="E108" s="6">
        <v>0</v>
      </c>
      <c r="F108" s="8">
        <f t="shared" si="1"/>
        <v>0</v>
      </c>
      <c r="G108" t="s">
        <v>70</v>
      </c>
    </row>
    <row r="109" spans="1:8">
      <c r="A109" t="s">
        <v>292</v>
      </c>
      <c r="B109" t="s">
        <v>253</v>
      </c>
      <c r="C109" t="s">
        <v>213</v>
      </c>
      <c r="D109" t="s">
        <v>293</v>
      </c>
      <c r="E109" s="6">
        <v>22000</v>
      </c>
      <c r="F109" s="8">
        <f t="shared" si="1"/>
        <v>916.66666666666663</v>
      </c>
      <c r="G109" t="s">
        <v>65</v>
      </c>
      <c r="H109" t="s">
        <v>511</v>
      </c>
    </row>
    <row r="110" spans="1:8">
      <c r="A110" t="s">
        <v>294</v>
      </c>
      <c r="B110" t="s">
        <v>295</v>
      </c>
      <c r="C110" t="s">
        <v>159</v>
      </c>
      <c r="D110" t="s">
        <v>296</v>
      </c>
      <c r="E110" s="6">
        <v>35000</v>
      </c>
      <c r="F110" s="8">
        <f t="shared" si="1"/>
        <v>1458.3333333333333</v>
      </c>
      <c r="G110" t="s">
        <v>65</v>
      </c>
      <c r="H110" t="s">
        <v>511</v>
      </c>
    </row>
    <row r="111" spans="1:8">
      <c r="A111" t="s">
        <v>297</v>
      </c>
      <c r="B111" t="s">
        <v>295</v>
      </c>
      <c r="C111" t="s">
        <v>159</v>
      </c>
      <c r="D111" t="s">
        <v>298</v>
      </c>
      <c r="E111" s="6">
        <v>82000</v>
      </c>
      <c r="F111" s="8">
        <f t="shared" si="1"/>
        <v>3416.6666666666665</v>
      </c>
      <c r="G111" t="s">
        <v>65</v>
      </c>
      <c r="H111" t="s">
        <v>511</v>
      </c>
    </row>
    <row r="112" spans="1:8">
      <c r="A112" t="s">
        <v>299</v>
      </c>
      <c r="B112" t="s">
        <v>295</v>
      </c>
      <c r="C112" t="s">
        <v>159</v>
      </c>
      <c r="D112" t="s">
        <v>300</v>
      </c>
      <c r="E112" s="6">
        <v>245000</v>
      </c>
      <c r="F112" s="8">
        <f t="shared" si="1"/>
        <v>10208.333333333334</v>
      </c>
      <c r="G112" t="s">
        <v>65</v>
      </c>
      <c r="H112" t="s">
        <v>514</v>
      </c>
    </row>
    <row r="113" spans="1:8">
      <c r="A113" t="s">
        <v>301</v>
      </c>
      <c r="B113" t="s">
        <v>295</v>
      </c>
      <c r="C113" t="s">
        <v>159</v>
      </c>
      <c r="D113" t="s">
        <v>302</v>
      </c>
      <c r="E113" s="6">
        <v>180000</v>
      </c>
      <c r="F113" s="8">
        <f t="shared" si="1"/>
        <v>7500</v>
      </c>
      <c r="G113" t="s">
        <v>65</v>
      </c>
      <c r="H113" t="s">
        <v>515</v>
      </c>
    </row>
    <row r="114" spans="1:8">
      <c r="A114" t="s">
        <v>303</v>
      </c>
      <c r="B114" t="s">
        <v>295</v>
      </c>
      <c r="C114" t="s">
        <v>159</v>
      </c>
      <c r="D114" t="s">
        <v>304</v>
      </c>
      <c r="E114" s="6">
        <v>24000</v>
      </c>
      <c r="F114" s="8">
        <f t="shared" si="1"/>
        <v>1000</v>
      </c>
      <c r="G114" t="s">
        <v>65</v>
      </c>
      <c r="H114" t="s">
        <v>511</v>
      </c>
    </row>
    <row r="115" spans="1:8">
      <c r="A115" t="s">
        <v>305</v>
      </c>
      <c r="B115" t="s">
        <v>295</v>
      </c>
      <c r="C115" t="s">
        <v>159</v>
      </c>
      <c r="D115" t="s">
        <v>306</v>
      </c>
      <c r="E115" s="6">
        <v>48000</v>
      </c>
      <c r="F115" s="8">
        <f t="shared" si="1"/>
        <v>2000</v>
      </c>
      <c r="G115" t="s">
        <v>65</v>
      </c>
      <c r="H115" t="s">
        <v>511</v>
      </c>
    </row>
    <row r="116" spans="1:8">
      <c r="A116" t="s">
        <v>307</v>
      </c>
      <c r="B116" t="s">
        <v>295</v>
      </c>
      <c r="C116" t="s">
        <v>159</v>
      </c>
      <c r="D116" t="s">
        <v>308</v>
      </c>
      <c r="E116" s="6">
        <v>38000</v>
      </c>
      <c r="F116" s="8">
        <f t="shared" si="1"/>
        <v>1583.3333333333333</v>
      </c>
      <c r="G116" t="s">
        <v>65</v>
      </c>
      <c r="H116" t="s">
        <v>511</v>
      </c>
    </row>
    <row r="117" spans="1:8">
      <c r="A117" t="s">
        <v>309</v>
      </c>
      <c r="B117" t="s">
        <v>295</v>
      </c>
      <c r="C117" t="s">
        <v>159</v>
      </c>
      <c r="D117" t="s">
        <v>310</v>
      </c>
      <c r="E117" s="6">
        <v>22000</v>
      </c>
      <c r="F117" s="8">
        <f t="shared" si="1"/>
        <v>916.66666666666663</v>
      </c>
      <c r="G117" t="s">
        <v>65</v>
      </c>
      <c r="H117" t="s">
        <v>511</v>
      </c>
    </row>
    <row r="118" spans="1:8">
      <c r="A118" t="s">
        <v>311</v>
      </c>
      <c r="B118" t="s">
        <v>295</v>
      </c>
      <c r="C118" t="s">
        <v>159</v>
      </c>
      <c r="D118" t="s">
        <v>312</v>
      </c>
      <c r="E118" s="6">
        <v>115000</v>
      </c>
      <c r="F118" s="8">
        <f t="shared" si="1"/>
        <v>4791.666666666667</v>
      </c>
      <c r="G118" t="s">
        <v>65</v>
      </c>
      <c r="H118" t="s">
        <v>516</v>
      </c>
    </row>
    <row r="119" spans="1:8">
      <c r="A119" t="s">
        <v>313</v>
      </c>
      <c r="B119" t="s">
        <v>295</v>
      </c>
      <c r="C119" t="s">
        <v>159</v>
      </c>
      <c r="D119" t="s">
        <v>314</v>
      </c>
      <c r="E119" s="6">
        <v>72000</v>
      </c>
      <c r="F119" s="8">
        <f t="shared" si="1"/>
        <v>3000</v>
      </c>
      <c r="G119" t="s">
        <v>65</v>
      </c>
      <c r="H119" t="s">
        <v>511</v>
      </c>
    </row>
    <row r="120" spans="1:8">
      <c r="A120" t="s">
        <v>315</v>
      </c>
      <c r="B120" t="s">
        <v>295</v>
      </c>
      <c r="C120" t="s">
        <v>159</v>
      </c>
      <c r="D120" t="s">
        <v>316</v>
      </c>
      <c r="E120" s="6">
        <v>125000</v>
      </c>
      <c r="F120" s="8">
        <f t="shared" si="1"/>
        <v>5208.333333333333</v>
      </c>
      <c r="G120" t="s">
        <v>65</v>
      </c>
      <c r="H120" t="s">
        <v>517</v>
      </c>
    </row>
    <row r="121" spans="1:8">
      <c r="A121" t="s">
        <v>317</v>
      </c>
      <c r="B121" t="s">
        <v>295</v>
      </c>
      <c r="C121" t="s">
        <v>159</v>
      </c>
      <c r="D121" t="s">
        <v>318</v>
      </c>
      <c r="E121" s="6">
        <v>18000</v>
      </c>
      <c r="F121" s="8">
        <f t="shared" si="1"/>
        <v>750</v>
      </c>
      <c r="G121" t="s">
        <v>65</v>
      </c>
      <c r="H121" t="s">
        <v>511</v>
      </c>
    </row>
    <row r="122" spans="1:8">
      <c r="A122" t="s">
        <v>319</v>
      </c>
      <c r="B122" t="s">
        <v>295</v>
      </c>
      <c r="C122" t="s">
        <v>159</v>
      </c>
      <c r="D122" t="s">
        <v>320</v>
      </c>
      <c r="E122" s="6">
        <v>38000</v>
      </c>
      <c r="F122" s="8">
        <f t="shared" si="1"/>
        <v>1583.3333333333333</v>
      </c>
      <c r="G122" t="s">
        <v>65</v>
      </c>
      <c r="H122" t="s">
        <v>511</v>
      </c>
    </row>
    <row r="123" spans="1:8">
      <c r="A123" t="s">
        <v>321</v>
      </c>
      <c r="B123" t="s">
        <v>295</v>
      </c>
      <c r="C123" t="s">
        <v>159</v>
      </c>
      <c r="D123" t="s">
        <v>322</v>
      </c>
      <c r="E123" s="6">
        <v>128000</v>
      </c>
      <c r="F123" s="8">
        <f t="shared" si="1"/>
        <v>5333.333333333333</v>
      </c>
      <c r="G123" t="s">
        <v>65</v>
      </c>
      <c r="H123" t="s">
        <v>518</v>
      </c>
    </row>
    <row r="124" spans="1:8">
      <c r="A124" t="s">
        <v>323</v>
      </c>
      <c r="B124" t="s">
        <v>295</v>
      </c>
      <c r="C124" t="s">
        <v>159</v>
      </c>
      <c r="D124" t="s">
        <v>324</v>
      </c>
      <c r="E124" s="6">
        <v>190000</v>
      </c>
      <c r="F124" s="8">
        <f t="shared" si="1"/>
        <v>7916.666666666667</v>
      </c>
      <c r="G124" t="s">
        <v>65</v>
      </c>
      <c r="H124" t="s">
        <v>519</v>
      </c>
    </row>
    <row r="125" spans="1:8">
      <c r="A125" t="s">
        <v>325</v>
      </c>
      <c r="B125" t="s">
        <v>295</v>
      </c>
      <c r="C125" t="s">
        <v>159</v>
      </c>
      <c r="D125" t="s">
        <v>326</v>
      </c>
      <c r="E125" s="6">
        <v>145000</v>
      </c>
      <c r="F125" s="8">
        <f t="shared" si="1"/>
        <v>6041.666666666667</v>
      </c>
      <c r="G125" t="s">
        <v>65</v>
      </c>
      <c r="H125" t="s">
        <v>520</v>
      </c>
    </row>
    <row r="126" spans="1:8">
      <c r="A126" t="s">
        <v>327</v>
      </c>
      <c r="B126" t="s">
        <v>295</v>
      </c>
      <c r="C126" t="s">
        <v>159</v>
      </c>
      <c r="D126" t="s">
        <v>328</v>
      </c>
      <c r="E126" s="6">
        <v>118000</v>
      </c>
      <c r="F126" s="8">
        <f t="shared" si="1"/>
        <v>4916.666666666667</v>
      </c>
      <c r="G126" t="s">
        <v>65</v>
      </c>
      <c r="H126" t="s">
        <v>511</v>
      </c>
    </row>
    <row r="127" spans="1:8">
      <c r="A127" t="s">
        <v>329</v>
      </c>
      <c r="B127" t="s">
        <v>295</v>
      </c>
      <c r="C127" t="s">
        <v>159</v>
      </c>
      <c r="D127" t="s">
        <v>330</v>
      </c>
      <c r="E127" s="6">
        <v>58000</v>
      </c>
      <c r="F127" s="8">
        <f t="shared" si="1"/>
        <v>2416.6666666666665</v>
      </c>
      <c r="G127" t="s">
        <v>65</v>
      </c>
      <c r="H127" t="s">
        <v>511</v>
      </c>
    </row>
    <row r="128" spans="1:8">
      <c r="A128" t="s">
        <v>331</v>
      </c>
      <c r="B128" t="s">
        <v>295</v>
      </c>
      <c r="C128" t="s">
        <v>159</v>
      </c>
      <c r="D128" t="s">
        <v>332</v>
      </c>
      <c r="E128" s="6">
        <v>28000</v>
      </c>
      <c r="F128" s="8">
        <f t="shared" si="1"/>
        <v>1166.6666666666667</v>
      </c>
      <c r="G128" t="s">
        <v>65</v>
      </c>
      <c r="H128" t="s">
        <v>511</v>
      </c>
    </row>
    <row r="129" spans="1:8">
      <c r="A129" t="s">
        <v>333</v>
      </c>
      <c r="B129" t="s">
        <v>295</v>
      </c>
      <c r="C129" t="s">
        <v>159</v>
      </c>
      <c r="D129" t="s">
        <v>334</v>
      </c>
      <c r="E129" s="6">
        <v>0</v>
      </c>
      <c r="F129" s="8">
        <f t="shared" si="1"/>
        <v>0</v>
      </c>
      <c r="G129" t="s">
        <v>70</v>
      </c>
      <c r="H129" t="s">
        <v>521</v>
      </c>
    </row>
    <row r="130" spans="1:8">
      <c r="A130" t="s">
        <v>335</v>
      </c>
      <c r="B130" t="s">
        <v>295</v>
      </c>
      <c r="C130" t="s">
        <v>159</v>
      </c>
      <c r="D130" t="s">
        <v>336</v>
      </c>
      <c r="E130" s="6">
        <v>62000</v>
      </c>
      <c r="F130" s="8">
        <f t="shared" si="1"/>
        <v>2583.3333333333335</v>
      </c>
      <c r="G130" t="s">
        <v>65</v>
      </c>
      <c r="H130" t="s">
        <v>511</v>
      </c>
    </row>
    <row r="131" spans="1:8">
      <c r="A131" t="s">
        <v>337</v>
      </c>
      <c r="B131" t="s">
        <v>295</v>
      </c>
      <c r="C131" t="s">
        <v>159</v>
      </c>
      <c r="D131" t="s">
        <v>338</v>
      </c>
      <c r="E131" s="6">
        <v>38000</v>
      </c>
      <c r="F131" s="8">
        <f t="shared" si="1"/>
        <v>1583.3333333333333</v>
      </c>
      <c r="G131" t="s">
        <v>65</v>
      </c>
      <c r="H131" t="s">
        <v>511</v>
      </c>
    </row>
    <row r="132" spans="1:8">
      <c r="A132" t="s">
        <v>339</v>
      </c>
      <c r="B132" t="s">
        <v>295</v>
      </c>
      <c r="C132" t="s">
        <v>159</v>
      </c>
      <c r="D132" t="s">
        <v>340</v>
      </c>
      <c r="E132" s="6">
        <v>20000</v>
      </c>
      <c r="F132" s="8">
        <f t="shared" ref="F132:F195" si="2">IF(E132=0,0,E132/24)</f>
        <v>833.33333333333337</v>
      </c>
      <c r="G132" t="s">
        <v>65</v>
      </c>
      <c r="H132" t="s">
        <v>511</v>
      </c>
    </row>
    <row r="133" spans="1:8">
      <c r="A133" t="s">
        <v>341</v>
      </c>
      <c r="B133" t="s">
        <v>295</v>
      </c>
      <c r="C133" t="s">
        <v>159</v>
      </c>
      <c r="D133" t="s">
        <v>342</v>
      </c>
      <c r="E133" s="6">
        <v>18000</v>
      </c>
      <c r="F133" s="8">
        <f t="shared" si="2"/>
        <v>750</v>
      </c>
      <c r="G133" t="s">
        <v>65</v>
      </c>
      <c r="H133" t="s">
        <v>511</v>
      </c>
    </row>
    <row r="134" spans="1:8">
      <c r="A134" t="s">
        <v>343</v>
      </c>
      <c r="B134" t="s">
        <v>295</v>
      </c>
      <c r="C134" t="s">
        <v>159</v>
      </c>
      <c r="D134" t="s">
        <v>344</v>
      </c>
      <c r="E134" s="6">
        <v>92000</v>
      </c>
      <c r="F134" s="8">
        <f t="shared" si="2"/>
        <v>3833.3333333333335</v>
      </c>
      <c r="G134" t="s">
        <v>65</v>
      </c>
      <c r="H134" t="s">
        <v>522</v>
      </c>
    </row>
    <row r="135" spans="1:8">
      <c r="A135" t="s">
        <v>345</v>
      </c>
      <c r="B135" t="s">
        <v>295</v>
      </c>
      <c r="C135" t="s">
        <v>159</v>
      </c>
      <c r="D135" t="s">
        <v>346</v>
      </c>
      <c r="E135" s="6">
        <v>48000</v>
      </c>
      <c r="F135" s="8">
        <f t="shared" si="2"/>
        <v>2000</v>
      </c>
      <c r="G135" t="s">
        <v>65</v>
      </c>
      <c r="H135" t="s">
        <v>511</v>
      </c>
    </row>
    <row r="136" spans="1:8">
      <c r="A136" t="s">
        <v>347</v>
      </c>
      <c r="B136" t="s">
        <v>295</v>
      </c>
      <c r="C136" t="s">
        <v>159</v>
      </c>
      <c r="D136" t="s">
        <v>348</v>
      </c>
      <c r="E136" s="6">
        <v>30000</v>
      </c>
      <c r="F136" s="8">
        <f t="shared" si="2"/>
        <v>1250</v>
      </c>
      <c r="G136" t="s">
        <v>65</v>
      </c>
      <c r="H136" t="s">
        <v>523</v>
      </c>
    </row>
    <row r="137" spans="1:8">
      <c r="A137" t="s">
        <v>349</v>
      </c>
      <c r="B137" t="s">
        <v>295</v>
      </c>
      <c r="C137" t="s">
        <v>175</v>
      </c>
      <c r="D137" t="s">
        <v>350</v>
      </c>
      <c r="E137" s="6">
        <v>165000</v>
      </c>
      <c r="F137" s="8">
        <f t="shared" si="2"/>
        <v>6875</v>
      </c>
      <c r="G137" t="s">
        <v>65</v>
      </c>
      <c r="H137" t="s">
        <v>524</v>
      </c>
    </row>
    <row r="138" spans="1:8">
      <c r="A138" t="s">
        <v>351</v>
      </c>
      <c r="B138" t="s">
        <v>295</v>
      </c>
      <c r="C138" t="s">
        <v>175</v>
      </c>
      <c r="D138" t="s">
        <v>352</v>
      </c>
      <c r="E138" s="6">
        <v>12000</v>
      </c>
      <c r="F138" s="8">
        <f t="shared" si="2"/>
        <v>500</v>
      </c>
      <c r="G138" t="s">
        <v>65</v>
      </c>
      <c r="H138" t="s">
        <v>511</v>
      </c>
    </row>
    <row r="139" spans="1:8">
      <c r="A139" t="s">
        <v>353</v>
      </c>
      <c r="B139" t="s">
        <v>295</v>
      </c>
      <c r="C139" t="s">
        <v>175</v>
      </c>
      <c r="D139" t="s">
        <v>354</v>
      </c>
      <c r="E139" s="6">
        <v>0</v>
      </c>
      <c r="F139" s="8">
        <f t="shared" si="2"/>
        <v>0</v>
      </c>
      <c r="G139" t="s">
        <v>70</v>
      </c>
    </row>
    <row r="140" spans="1:8">
      <c r="A140" t="s">
        <v>355</v>
      </c>
      <c r="B140" t="s">
        <v>295</v>
      </c>
      <c r="C140" t="s">
        <v>175</v>
      </c>
      <c r="D140" t="s">
        <v>356</v>
      </c>
      <c r="E140" s="6">
        <v>0</v>
      </c>
      <c r="F140" s="8">
        <f t="shared" si="2"/>
        <v>0</v>
      </c>
      <c r="G140" t="s">
        <v>70</v>
      </c>
    </row>
    <row r="141" spans="1:8">
      <c r="A141" t="s">
        <v>357</v>
      </c>
      <c r="B141" t="s">
        <v>295</v>
      </c>
      <c r="C141" t="s">
        <v>175</v>
      </c>
      <c r="D141" t="s">
        <v>358</v>
      </c>
      <c r="E141" s="6">
        <v>0</v>
      </c>
      <c r="F141" s="8">
        <f t="shared" si="2"/>
        <v>0</v>
      </c>
      <c r="G141" t="s">
        <v>70</v>
      </c>
    </row>
    <row r="142" spans="1:8">
      <c r="A142" t="s">
        <v>359</v>
      </c>
      <c r="B142" t="s">
        <v>295</v>
      </c>
      <c r="C142" t="s">
        <v>175</v>
      </c>
      <c r="D142" t="s">
        <v>360</v>
      </c>
      <c r="E142" s="6">
        <v>0</v>
      </c>
      <c r="F142" s="8">
        <f t="shared" si="2"/>
        <v>0</v>
      </c>
      <c r="G142" t="s">
        <v>70</v>
      </c>
    </row>
    <row r="143" spans="1:8">
      <c r="A143" t="s">
        <v>361</v>
      </c>
      <c r="B143" t="s">
        <v>295</v>
      </c>
      <c r="C143" t="s">
        <v>175</v>
      </c>
      <c r="D143" t="s">
        <v>362</v>
      </c>
      <c r="E143" s="6">
        <v>54000</v>
      </c>
      <c r="F143" s="8">
        <f t="shared" si="2"/>
        <v>2250</v>
      </c>
      <c r="G143" t="s">
        <v>65</v>
      </c>
      <c r="H143" t="s">
        <v>511</v>
      </c>
    </row>
    <row r="144" spans="1:8">
      <c r="A144" t="s">
        <v>363</v>
      </c>
      <c r="B144" t="s">
        <v>295</v>
      </c>
      <c r="C144" t="s">
        <v>175</v>
      </c>
      <c r="D144" t="s">
        <v>364</v>
      </c>
      <c r="E144" s="6">
        <v>42000</v>
      </c>
      <c r="F144" s="8">
        <f t="shared" si="2"/>
        <v>1750</v>
      </c>
      <c r="G144" t="s">
        <v>65</v>
      </c>
      <c r="H144" t="s">
        <v>511</v>
      </c>
    </row>
    <row r="145" spans="1:8">
      <c r="A145" t="s">
        <v>365</v>
      </c>
      <c r="B145" t="s">
        <v>295</v>
      </c>
      <c r="C145" t="s">
        <v>175</v>
      </c>
      <c r="D145" t="s">
        <v>366</v>
      </c>
      <c r="E145" s="6">
        <v>52000</v>
      </c>
      <c r="F145" s="8">
        <f t="shared" si="2"/>
        <v>2166.6666666666665</v>
      </c>
      <c r="G145" t="s">
        <v>65</v>
      </c>
      <c r="H145" t="s">
        <v>525</v>
      </c>
    </row>
    <row r="146" spans="1:8">
      <c r="A146" t="s">
        <v>367</v>
      </c>
      <c r="B146" t="s">
        <v>295</v>
      </c>
      <c r="C146" t="s">
        <v>175</v>
      </c>
      <c r="D146" t="s">
        <v>368</v>
      </c>
      <c r="E146" s="6">
        <v>20000</v>
      </c>
      <c r="F146" s="8">
        <f t="shared" si="2"/>
        <v>833.33333333333337</v>
      </c>
      <c r="G146" t="s">
        <v>65</v>
      </c>
      <c r="H146" t="s">
        <v>511</v>
      </c>
    </row>
    <row r="147" spans="1:8">
      <c r="A147" t="s">
        <v>369</v>
      </c>
      <c r="B147" t="s">
        <v>295</v>
      </c>
      <c r="C147" t="s">
        <v>175</v>
      </c>
      <c r="D147" t="s">
        <v>370</v>
      </c>
      <c r="E147" s="6">
        <v>18000</v>
      </c>
      <c r="F147" s="8">
        <f t="shared" si="2"/>
        <v>750</v>
      </c>
      <c r="G147" t="s">
        <v>65</v>
      </c>
      <c r="H147" t="s">
        <v>511</v>
      </c>
    </row>
    <row r="148" spans="1:8">
      <c r="A148" t="s">
        <v>371</v>
      </c>
      <c r="B148" t="s">
        <v>295</v>
      </c>
      <c r="C148" t="s">
        <v>175</v>
      </c>
      <c r="D148" t="s">
        <v>372</v>
      </c>
      <c r="E148" s="6">
        <v>45000</v>
      </c>
      <c r="F148" s="8">
        <f t="shared" si="2"/>
        <v>1875</v>
      </c>
      <c r="G148" t="s">
        <v>65</v>
      </c>
      <c r="H148" t="s">
        <v>511</v>
      </c>
    </row>
    <row r="149" spans="1:8">
      <c r="A149" t="s">
        <v>373</v>
      </c>
      <c r="B149" t="s">
        <v>295</v>
      </c>
      <c r="C149" t="s">
        <v>175</v>
      </c>
      <c r="D149" t="s">
        <v>374</v>
      </c>
      <c r="E149" s="6">
        <v>0</v>
      </c>
      <c r="F149" s="8">
        <f t="shared" si="2"/>
        <v>0</v>
      </c>
      <c r="G149" t="s">
        <v>70</v>
      </c>
    </row>
    <row r="150" spans="1:8">
      <c r="A150" t="s">
        <v>375</v>
      </c>
      <c r="B150" t="s">
        <v>295</v>
      </c>
      <c r="C150" t="s">
        <v>175</v>
      </c>
      <c r="D150" t="s">
        <v>376</v>
      </c>
      <c r="E150" s="6">
        <v>0</v>
      </c>
      <c r="F150" s="8">
        <f t="shared" si="2"/>
        <v>0</v>
      </c>
      <c r="G150" t="s">
        <v>70</v>
      </c>
    </row>
    <row r="151" spans="1:8">
      <c r="A151" t="s">
        <v>377</v>
      </c>
      <c r="B151" t="s">
        <v>295</v>
      </c>
      <c r="C151" t="s">
        <v>175</v>
      </c>
      <c r="D151" t="s">
        <v>378</v>
      </c>
      <c r="E151" s="6">
        <v>78000</v>
      </c>
      <c r="F151" s="8">
        <f t="shared" si="2"/>
        <v>3250</v>
      </c>
      <c r="G151" t="s">
        <v>65</v>
      </c>
      <c r="H151" t="s">
        <v>511</v>
      </c>
    </row>
    <row r="152" spans="1:8">
      <c r="A152" t="s">
        <v>379</v>
      </c>
      <c r="B152" t="s">
        <v>295</v>
      </c>
      <c r="C152" t="s">
        <v>175</v>
      </c>
      <c r="D152" t="s">
        <v>380</v>
      </c>
      <c r="E152" s="6">
        <v>30000</v>
      </c>
      <c r="F152" s="8">
        <f t="shared" si="2"/>
        <v>1250</v>
      </c>
      <c r="G152" t="s">
        <v>65</v>
      </c>
      <c r="H152" t="s">
        <v>511</v>
      </c>
    </row>
    <row r="153" spans="1:8">
      <c r="A153" t="s">
        <v>381</v>
      </c>
      <c r="B153" t="s">
        <v>295</v>
      </c>
      <c r="C153" t="s">
        <v>175</v>
      </c>
      <c r="D153" t="s">
        <v>382</v>
      </c>
      <c r="E153" s="6">
        <v>85000</v>
      </c>
      <c r="F153" s="8">
        <f t="shared" si="2"/>
        <v>3541.6666666666665</v>
      </c>
      <c r="G153" t="s">
        <v>65</v>
      </c>
      <c r="H153" t="s">
        <v>511</v>
      </c>
    </row>
    <row r="154" spans="1:8">
      <c r="A154" t="s">
        <v>383</v>
      </c>
      <c r="B154" t="s">
        <v>295</v>
      </c>
      <c r="C154" t="s">
        <v>175</v>
      </c>
      <c r="D154" t="s">
        <v>384</v>
      </c>
      <c r="E154" s="6">
        <v>35000</v>
      </c>
      <c r="F154" s="8">
        <f t="shared" si="2"/>
        <v>1458.3333333333333</v>
      </c>
      <c r="G154" t="s">
        <v>65</v>
      </c>
      <c r="H154" t="s">
        <v>511</v>
      </c>
    </row>
    <row r="155" spans="1:8">
      <c r="A155" t="s">
        <v>385</v>
      </c>
      <c r="B155" t="s">
        <v>295</v>
      </c>
      <c r="C155" t="s">
        <v>175</v>
      </c>
      <c r="D155" t="s">
        <v>386</v>
      </c>
      <c r="E155" s="6">
        <v>34000</v>
      </c>
      <c r="F155" s="8">
        <f t="shared" si="2"/>
        <v>1416.6666666666667</v>
      </c>
      <c r="G155" t="s">
        <v>65</v>
      </c>
      <c r="H155" t="s">
        <v>511</v>
      </c>
    </row>
    <row r="156" spans="1:8">
      <c r="A156" t="s">
        <v>387</v>
      </c>
      <c r="B156" t="s">
        <v>295</v>
      </c>
      <c r="C156" t="s">
        <v>175</v>
      </c>
      <c r="D156" t="s">
        <v>388</v>
      </c>
      <c r="E156" s="6">
        <v>38000</v>
      </c>
      <c r="F156" s="8">
        <f t="shared" si="2"/>
        <v>1583.3333333333333</v>
      </c>
      <c r="G156" t="s">
        <v>65</v>
      </c>
      <c r="H156" t="s">
        <v>511</v>
      </c>
    </row>
    <row r="157" spans="1:8">
      <c r="A157" t="s">
        <v>389</v>
      </c>
      <c r="B157" t="s">
        <v>295</v>
      </c>
      <c r="C157" t="s">
        <v>175</v>
      </c>
      <c r="D157" t="s">
        <v>390</v>
      </c>
      <c r="E157" s="6">
        <v>10000</v>
      </c>
      <c r="F157" s="8">
        <f t="shared" si="2"/>
        <v>416.66666666666669</v>
      </c>
      <c r="G157" t="s">
        <v>65</v>
      </c>
      <c r="H157" t="s">
        <v>511</v>
      </c>
    </row>
    <row r="158" spans="1:8">
      <c r="A158" t="s">
        <v>391</v>
      </c>
      <c r="B158" t="s">
        <v>295</v>
      </c>
      <c r="C158" t="s">
        <v>175</v>
      </c>
      <c r="D158" t="s">
        <v>392</v>
      </c>
      <c r="E158" s="6">
        <v>18000</v>
      </c>
      <c r="F158" s="8">
        <f t="shared" si="2"/>
        <v>750</v>
      </c>
      <c r="G158" t="s">
        <v>65</v>
      </c>
      <c r="H158" t="s">
        <v>511</v>
      </c>
    </row>
    <row r="159" spans="1:8">
      <c r="A159" t="s">
        <v>393</v>
      </c>
      <c r="B159" t="s">
        <v>295</v>
      </c>
      <c r="C159" t="s">
        <v>175</v>
      </c>
      <c r="D159" t="s">
        <v>394</v>
      </c>
      <c r="E159" s="6">
        <v>28000</v>
      </c>
      <c r="F159" s="8">
        <f t="shared" si="2"/>
        <v>1166.6666666666667</v>
      </c>
      <c r="G159" t="s">
        <v>65</v>
      </c>
      <c r="H159" t="s">
        <v>511</v>
      </c>
    </row>
    <row r="160" spans="1:8">
      <c r="A160" t="s">
        <v>395</v>
      </c>
      <c r="B160" t="s">
        <v>295</v>
      </c>
      <c r="C160" t="s">
        <v>175</v>
      </c>
      <c r="D160" t="s">
        <v>396</v>
      </c>
      <c r="E160" s="6">
        <v>42000</v>
      </c>
      <c r="F160" s="8">
        <f t="shared" si="2"/>
        <v>1750</v>
      </c>
      <c r="G160" t="s">
        <v>65</v>
      </c>
      <c r="H160" t="s">
        <v>511</v>
      </c>
    </row>
    <row r="161" spans="1:8">
      <c r="A161" t="s">
        <v>397</v>
      </c>
      <c r="B161" t="s">
        <v>295</v>
      </c>
      <c r="C161" t="s">
        <v>175</v>
      </c>
      <c r="D161" t="s">
        <v>398</v>
      </c>
      <c r="E161" s="6">
        <v>18000</v>
      </c>
      <c r="F161" s="8">
        <f t="shared" si="2"/>
        <v>750</v>
      </c>
      <c r="G161" t="s">
        <v>65</v>
      </c>
      <c r="H161" t="s">
        <v>511</v>
      </c>
    </row>
    <row r="162" spans="1:8">
      <c r="A162" t="s">
        <v>399</v>
      </c>
      <c r="B162" t="s">
        <v>295</v>
      </c>
      <c r="C162" t="s">
        <v>175</v>
      </c>
      <c r="D162" t="s">
        <v>400</v>
      </c>
      <c r="E162" s="6">
        <v>0</v>
      </c>
      <c r="F162" s="8">
        <f t="shared" si="2"/>
        <v>0</v>
      </c>
      <c r="G162" t="s">
        <v>70</v>
      </c>
    </row>
    <row r="163" spans="1:8">
      <c r="A163" t="s">
        <v>401</v>
      </c>
      <c r="B163" t="s">
        <v>295</v>
      </c>
      <c r="C163" t="s">
        <v>175</v>
      </c>
      <c r="D163" t="s">
        <v>402</v>
      </c>
      <c r="E163" s="6">
        <v>68000</v>
      </c>
      <c r="F163" s="8">
        <f t="shared" si="2"/>
        <v>2833.3333333333335</v>
      </c>
      <c r="G163" t="s">
        <v>65</v>
      </c>
      <c r="H163" t="s">
        <v>511</v>
      </c>
    </row>
    <row r="164" spans="1:8">
      <c r="A164" t="s">
        <v>403</v>
      </c>
      <c r="B164" t="s">
        <v>295</v>
      </c>
      <c r="C164" t="s">
        <v>175</v>
      </c>
      <c r="D164" t="s">
        <v>404</v>
      </c>
      <c r="E164" s="6">
        <v>12000</v>
      </c>
      <c r="F164" s="8">
        <f t="shared" si="2"/>
        <v>500</v>
      </c>
      <c r="G164" t="s">
        <v>65</v>
      </c>
      <c r="H164" t="s">
        <v>511</v>
      </c>
    </row>
    <row r="165" spans="1:8">
      <c r="A165" t="s">
        <v>405</v>
      </c>
      <c r="B165" t="s">
        <v>295</v>
      </c>
      <c r="C165" t="s">
        <v>175</v>
      </c>
      <c r="D165" t="s">
        <v>406</v>
      </c>
      <c r="E165" s="6">
        <v>0</v>
      </c>
      <c r="F165" s="8">
        <f t="shared" si="2"/>
        <v>0</v>
      </c>
      <c r="G165" t="s">
        <v>70</v>
      </c>
    </row>
    <row r="166" spans="1:8">
      <c r="A166" t="s">
        <v>407</v>
      </c>
      <c r="B166" t="s">
        <v>295</v>
      </c>
      <c r="C166" t="s">
        <v>175</v>
      </c>
      <c r="D166" t="s">
        <v>408</v>
      </c>
      <c r="E166" s="6">
        <v>9000</v>
      </c>
      <c r="F166" s="8">
        <f t="shared" si="2"/>
        <v>375</v>
      </c>
      <c r="G166" t="s">
        <v>65</v>
      </c>
      <c r="H166" t="s">
        <v>511</v>
      </c>
    </row>
    <row r="167" spans="1:8">
      <c r="A167" t="s">
        <v>409</v>
      </c>
      <c r="B167" t="s">
        <v>295</v>
      </c>
      <c r="C167" t="s">
        <v>175</v>
      </c>
      <c r="D167" t="s">
        <v>410</v>
      </c>
      <c r="E167" s="6">
        <v>0</v>
      </c>
      <c r="F167" s="8">
        <f t="shared" si="2"/>
        <v>0</v>
      </c>
      <c r="G167" t="s">
        <v>70</v>
      </c>
    </row>
    <row r="168" spans="1:8">
      <c r="A168" t="s">
        <v>411</v>
      </c>
      <c r="B168" t="s">
        <v>295</v>
      </c>
      <c r="C168" t="s">
        <v>175</v>
      </c>
      <c r="D168" t="s">
        <v>412</v>
      </c>
      <c r="E168" s="6">
        <v>0</v>
      </c>
      <c r="F168" s="8">
        <f t="shared" si="2"/>
        <v>0</v>
      </c>
      <c r="G168" t="s">
        <v>70</v>
      </c>
    </row>
    <row r="169" spans="1:8">
      <c r="A169" t="s">
        <v>413</v>
      </c>
      <c r="B169" t="s">
        <v>295</v>
      </c>
      <c r="C169" t="s">
        <v>175</v>
      </c>
      <c r="D169" t="s">
        <v>414</v>
      </c>
      <c r="E169" s="6">
        <v>18000</v>
      </c>
      <c r="F169" s="8">
        <f t="shared" si="2"/>
        <v>750</v>
      </c>
      <c r="G169" t="s">
        <v>65</v>
      </c>
      <c r="H169" t="s">
        <v>511</v>
      </c>
    </row>
    <row r="170" spans="1:8">
      <c r="A170" t="s">
        <v>415</v>
      </c>
      <c r="B170" t="s">
        <v>416</v>
      </c>
      <c r="C170" t="s">
        <v>254</v>
      </c>
      <c r="D170" t="s">
        <v>417</v>
      </c>
      <c r="E170" s="6">
        <v>80000</v>
      </c>
      <c r="F170" s="8">
        <f t="shared" si="2"/>
        <v>3333.3333333333335</v>
      </c>
      <c r="G170" t="s">
        <v>65</v>
      </c>
      <c r="H170" t="s">
        <v>511</v>
      </c>
    </row>
    <row r="171" spans="1:8">
      <c r="A171" t="s">
        <v>418</v>
      </c>
      <c r="B171" t="s">
        <v>416</v>
      </c>
      <c r="C171" t="s">
        <v>254</v>
      </c>
      <c r="D171" t="s">
        <v>419</v>
      </c>
      <c r="E171" s="6">
        <v>0</v>
      </c>
      <c r="F171" s="8">
        <f t="shared" si="2"/>
        <v>0</v>
      </c>
      <c r="G171" t="s">
        <v>70</v>
      </c>
    </row>
    <row r="172" spans="1:8">
      <c r="A172" t="s">
        <v>420</v>
      </c>
      <c r="B172" t="s">
        <v>416</v>
      </c>
      <c r="C172" t="s">
        <v>254</v>
      </c>
      <c r="D172" t="s">
        <v>421</v>
      </c>
      <c r="E172" s="6">
        <v>18000</v>
      </c>
      <c r="F172" s="8">
        <f t="shared" si="2"/>
        <v>750</v>
      </c>
      <c r="G172" t="s">
        <v>65</v>
      </c>
      <c r="H172" t="s">
        <v>511</v>
      </c>
    </row>
    <row r="173" spans="1:8">
      <c r="A173" t="s">
        <v>422</v>
      </c>
      <c r="B173" t="s">
        <v>416</v>
      </c>
      <c r="C173" t="s">
        <v>254</v>
      </c>
      <c r="D173" t="s">
        <v>423</v>
      </c>
      <c r="E173" s="6">
        <v>0</v>
      </c>
      <c r="F173" s="8">
        <f t="shared" si="2"/>
        <v>0</v>
      </c>
      <c r="G173" t="s">
        <v>70</v>
      </c>
    </row>
    <row r="174" spans="1:8">
      <c r="A174" t="s">
        <v>424</v>
      </c>
      <c r="B174" t="s">
        <v>416</v>
      </c>
      <c r="C174" t="s">
        <v>254</v>
      </c>
      <c r="D174" t="s">
        <v>425</v>
      </c>
      <c r="E174" s="6">
        <v>0</v>
      </c>
      <c r="F174" s="8">
        <f t="shared" si="2"/>
        <v>0</v>
      </c>
      <c r="G174" t="s">
        <v>70</v>
      </c>
    </row>
    <row r="175" spans="1:8">
      <c r="A175" t="s">
        <v>426</v>
      </c>
      <c r="B175" t="s">
        <v>416</v>
      </c>
      <c r="C175" t="s">
        <v>254</v>
      </c>
      <c r="D175" t="s">
        <v>427</v>
      </c>
      <c r="E175" s="6">
        <v>0</v>
      </c>
      <c r="F175" s="8">
        <f t="shared" si="2"/>
        <v>0</v>
      </c>
      <c r="G175" t="s">
        <v>70</v>
      </c>
    </row>
    <row r="176" spans="1:8">
      <c r="A176" t="s">
        <v>428</v>
      </c>
      <c r="B176" t="s">
        <v>416</v>
      </c>
      <c r="C176" t="s">
        <v>254</v>
      </c>
      <c r="D176" t="s">
        <v>429</v>
      </c>
      <c r="E176" s="6">
        <v>0</v>
      </c>
      <c r="F176" s="8">
        <f t="shared" si="2"/>
        <v>0</v>
      </c>
      <c r="G176" t="s">
        <v>70</v>
      </c>
    </row>
    <row r="177" spans="1:8">
      <c r="A177" t="s">
        <v>430</v>
      </c>
      <c r="B177" t="s">
        <v>416</v>
      </c>
      <c r="C177" t="s">
        <v>254</v>
      </c>
      <c r="D177" t="s">
        <v>431</v>
      </c>
      <c r="E177" s="6">
        <v>95000</v>
      </c>
      <c r="F177" s="8">
        <f t="shared" si="2"/>
        <v>3958.3333333333335</v>
      </c>
      <c r="G177" t="s">
        <v>65</v>
      </c>
      <c r="H177" t="s">
        <v>511</v>
      </c>
    </row>
    <row r="178" spans="1:8">
      <c r="A178" t="s">
        <v>432</v>
      </c>
      <c r="B178" t="s">
        <v>416</v>
      </c>
      <c r="C178" t="s">
        <v>180</v>
      </c>
      <c r="D178" t="s">
        <v>433</v>
      </c>
      <c r="E178" s="6">
        <v>0</v>
      </c>
      <c r="F178" s="8">
        <f t="shared" si="2"/>
        <v>0</v>
      </c>
      <c r="G178" t="s">
        <v>70</v>
      </c>
    </row>
    <row r="179" spans="1:8">
      <c r="A179" t="s">
        <v>434</v>
      </c>
      <c r="B179" t="s">
        <v>416</v>
      </c>
      <c r="C179" t="s">
        <v>254</v>
      </c>
      <c r="D179" t="s">
        <v>435</v>
      </c>
      <c r="E179" s="6">
        <v>0</v>
      </c>
      <c r="F179" s="8">
        <f t="shared" si="2"/>
        <v>0</v>
      </c>
      <c r="G179" t="s">
        <v>70</v>
      </c>
    </row>
    <row r="180" spans="1:8">
      <c r="A180" t="s">
        <v>436</v>
      </c>
      <c r="B180" t="s">
        <v>416</v>
      </c>
      <c r="C180" t="s">
        <v>254</v>
      </c>
      <c r="D180" t="s">
        <v>437</v>
      </c>
      <c r="E180" s="6">
        <v>65000</v>
      </c>
      <c r="F180" s="8">
        <f t="shared" si="2"/>
        <v>2708.3333333333335</v>
      </c>
      <c r="G180" t="s">
        <v>65</v>
      </c>
      <c r="H180" t="s">
        <v>511</v>
      </c>
    </row>
    <row r="181" spans="1:8">
      <c r="A181" t="s">
        <v>438</v>
      </c>
      <c r="B181" t="s">
        <v>416</v>
      </c>
      <c r="C181" t="s">
        <v>254</v>
      </c>
      <c r="D181" t="s">
        <v>439</v>
      </c>
      <c r="E181" s="6">
        <v>0</v>
      </c>
      <c r="F181" s="8">
        <f t="shared" si="2"/>
        <v>0</v>
      </c>
      <c r="G181" t="s">
        <v>70</v>
      </c>
    </row>
    <row r="182" spans="1:8">
      <c r="A182" t="s">
        <v>440</v>
      </c>
      <c r="B182" t="s">
        <v>416</v>
      </c>
      <c r="C182" t="s">
        <v>112</v>
      </c>
      <c r="D182" t="s">
        <v>441</v>
      </c>
      <c r="E182" s="6">
        <v>0</v>
      </c>
      <c r="F182" s="8">
        <f t="shared" si="2"/>
        <v>0</v>
      </c>
      <c r="G182" t="s">
        <v>70</v>
      </c>
    </row>
    <row r="183" spans="1:8">
      <c r="A183" t="s">
        <v>442</v>
      </c>
      <c r="B183" t="s">
        <v>416</v>
      </c>
      <c r="C183" t="s">
        <v>112</v>
      </c>
      <c r="D183" t="s">
        <v>443</v>
      </c>
      <c r="E183" s="6">
        <v>0</v>
      </c>
      <c r="F183" s="8">
        <f t="shared" si="2"/>
        <v>0</v>
      </c>
      <c r="G183" t="s">
        <v>70</v>
      </c>
    </row>
    <row r="184" spans="1:8">
      <c r="A184" t="s">
        <v>444</v>
      </c>
      <c r="B184" t="s">
        <v>416</v>
      </c>
      <c r="C184" t="s">
        <v>254</v>
      </c>
      <c r="D184" t="s">
        <v>445</v>
      </c>
      <c r="E184" s="6">
        <v>55000</v>
      </c>
      <c r="F184" s="8">
        <f t="shared" si="2"/>
        <v>2291.6666666666665</v>
      </c>
      <c r="G184" t="s">
        <v>65</v>
      </c>
      <c r="H184" t="s">
        <v>511</v>
      </c>
    </row>
    <row r="185" spans="1:8">
      <c r="A185" t="s">
        <v>446</v>
      </c>
      <c r="B185" t="s">
        <v>416</v>
      </c>
      <c r="C185" t="s">
        <v>254</v>
      </c>
      <c r="D185" t="s">
        <v>447</v>
      </c>
      <c r="E185" s="6">
        <v>25000</v>
      </c>
      <c r="F185" s="8">
        <f t="shared" si="2"/>
        <v>1041.6666666666667</v>
      </c>
      <c r="G185" t="s">
        <v>65</v>
      </c>
      <c r="H185" t="s">
        <v>511</v>
      </c>
    </row>
    <row r="186" spans="1:8">
      <c r="A186" t="s">
        <v>448</v>
      </c>
      <c r="B186" t="s">
        <v>416</v>
      </c>
      <c r="C186" t="s">
        <v>254</v>
      </c>
      <c r="D186" t="s">
        <v>449</v>
      </c>
      <c r="E186" s="6">
        <v>75000</v>
      </c>
      <c r="F186" s="8">
        <f t="shared" si="2"/>
        <v>3125</v>
      </c>
      <c r="G186" t="s">
        <v>65</v>
      </c>
      <c r="H186" t="s">
        <v>526</v>
      </c>
    </row>
    <row r="187" spans="1:8">
      <c r="A187" t="s">
        <v>450</v>
      </c>
      <c r="B187" t="s">
        <v>416</v>
      </c>
      <c r="C187" t="s">
        <v>180</v>
      </c>
      <c r="D187" t="s">
        <v>451</v>
      </c>
      <c r="E187" s="6">
        <v>0</v>
      </c>
      <c r="F187" s="8">
        <f t="shared" si="2"/>
        <v>0</v>
      </c>
      <c r="G187" t="s">
        <v>70</v>
      </c>
    </row>
    <row r="188" spans="1:8">
      <c r="A188" t="s">
        <v>452</v>
      </c>
      <c r="B188" t="s">
        <v>416</v>
      </c>
      <c r="C188" t="s">
        <v>180</v>
      </c>
      <c r="D188" t="s">
        <v>453</v>
      </c>
      <c r="E188" s="6">
        <v>0</v>
      </c>
      <c r="F188" s="8">
        <f t="shared" si="2"/>
        <v>0</v>
      </c>
      <c r="G188" t="s">
        <v>70</v>
      </c>
    </row>
    <row r="189" spans="1:8">
      <c r="A189" t="s">
        <v>454</v>
      </c>
      <c r="B189" t="s">
        <v>416</v>
      </c>
      <c r="C189" t="s">
        <v>254</v>
      </c>
      <c r="D189" t="s">
        <v>455</v>
      </c>
      <c r="E189" s="6">
        <v>0</v>
      </c>
      <c r="F189" s="8">
        <f t="shared" si="2"/>
        <v>0</v>
      </c>
      <c r="G189" t="s">
        <v>70</v>
      </c>
    </row>
    <row r="190" spans="1:8">
      <c r="A190" t="s">
        <v>456</v>
      </c>
      <c r="B190" t="s">
        <v>416</v>
      </c>
      <c r="C190" t="s">
        <v>175</v>
      </c>
      <c r="D190" t="s">
        <v>457</v>
      </c>
      <c r="E190" s="6">
        <v>0</v>
      </c>
      <c r="F190" s="8">
        <f t="shared" si="2"/>
        <v>0</v>
      </c>
      <c r="G190" t="s">
        <v>70</v>
      </c>
    </row>
    <row r="191" spans="1:8">
      <c r="A191" t="s">
        <v>458</v>
      </c>
      <c r="B191" t="s">
        <v>416</v>
      </c>
      <c r="C191" t="s">
        <v>254</v>
      </c>
      <c r="D191" t="s">
        <v>459</v>
      </c>
      <c r="E191" s="6">
        <v>0</v>
      </c>
      <c r="F191" s="8">
        <f t="shared" si="2"/>
        <v>0</v>
      </c>
      <c r="G191" t="s">
        <v>70</v>
      </c>
    </row>
    <row r="192" spans="1:8">
      <c r="A192" t="s">
        <v>460</v>
      </c>
      <c r="B192" t="s">
        <v>416</v>
      </c>
      <c r="C192" t="s">
        <v>254</v>
      </c>
      <c r="D192" t="s">
        <v>461</v>
      </c>
      <c r="E192" s="6">
        <v>0</v>
      </c>
      <c r="F192" s="8">
        <f t="shared" si="2"/>
        <v>0</v>
      </c>
      <c r="G192" t="s">
        <v>70</v>
      </c>
    </row>
    <row r="193" spans="1:8">
      <c r="A193" t="s">
        <v>462</v>
      </c>
      <c r="B193" t="s">
        <v>463</v>
      </c>
      <c r="C193" t="s">
        <v>112</v>
      </c>
      <c r="D193" t="s">
        <v>464</v>
      </c>
      <c r="E193" s="6">
        <v>160000</v>
      </c>
      <c r="F193" s="8">
        <f t="shared" si="2"/>
        <v>6666.666666666667</v>
      </c>
      <c r="G193" t="s">
        <v>65</v>
      </c>
      <c r="H193" t="s">
        <v>511</v>
      </c>
    </row>
    <row r="194" spans="1:8">
      <c r="A194" t="s">
        <v>465</v>
      </c>
      <c r="B194" t="s">
        <v>463</v>
      </c>
      <c r="C194" t="s">
        <v>112</v>
      </c>
      <c r="D194" t="s">
        <v>466</v>
      </c>
      <c r="E194" s="6">
        <v>115000</v>
      </c>
      <c r="F194" s="8">
        <f t="shared" si="2"/>
        <v>4791.666666666667</v>
      </c>
      <c r="G194" t="s">
        <v>65</v>
      </c>
      <c r="H194" t="s">
        <v>511</v>
      </c>
    </row>
    <row r="195" spans="1:8">
      <c r="A195" t="s">
        <v>467</v>
      </c>
      <c r="B195" t="s">
        <v>468</v>
      </c>
      <c r="C195" t="s">
        <v>469</v>
      </c>
      <c r="D195" t="s">
        <v>30</v>
      </c>
      <c r="E195" s="6">
        <v>0</v>
      </c>
      <c r="F195" s="8">
        <f t="shared" si="2"/>
        <v>0</v>
      </c>
      <c r="G195" t="s">
        <v>70</v>
      </c>
    </row>
    <row r="196" spans="1:8">
      <c r="A196" t="s">
        <v>470</v>
      </c>
      <c r="B196" t="s">
        <v>468</v>
      </c>
      <c r="C196" t="s">
        <v>74</v>
      </c>
      <c r="D196" t="s">
        <v>471</v>
      </c>
      <c r="E196" s="6">
        <v>25000</v>
      </c>
      <c r="F196" s="8">
        <f t="shared" ref="F196:F259" si="3">IF(E196=0,0,E196/24)</f>
        <v>1041.6666666666667</v>
      </c>
      <c r="G196" t="s">
        <v>65</v>
      </c>
      <c r="H196" t="s">
        <v>511</v>
      </c>
    </row>
    <row r="197" spans="1:8">
      <c r="A197" t="s">
        <v>472</v>
      </c>
      <c r="B197" t="s">
        <v>468</v>
      </c>
      <c r="C197" t="s">
        <v>74</v>
      </c>
      <c r="D197" t="s">
        <v>473</v>
      </c>
      <c r="E197" s="6">
        <v>95000</v>
      </c>
      <c r="F197" s="8">
        <f t="shared" si="3"/>
        <v>3958.3333333333335</v>
      </c>
      <c r="G197" t="s">
        <v>65</v>
      </c>
      <c r="H197" t="s">
        <v>511</v>
      </c>
    </row>
    <row r="198" spans="1:8">
      <c r="A198" t="s">
        <v>474</v>
      </c>
      <c r="B198" t="s">
        <v>468</v>
      </c>
      <c r="C198" t="s">
        <v>469</v>
      </c>
      <c r="D198" t="s">
        <v>475</v>
      </c>
      <c r="E198" s="6">
        <v>0</v>
      </c>
      <c r="F198" s="8">
        <f t="shared" si="3"/>
        <v>0</v>
      </c>
      <c r="G198" t="s">
        <v>70</v>
      </c>
    </row>
    <row r="199" spans="1:8">
      <c r="A199" t="s">
        <v>476</v>
      </c>
      <c r="B199" t="s">
        <v>468</v>
      </c>
      <c r="C199" t="s">
        <v>74</v>
      </c>
      <c r="D199" t="s">
        <v>477</v>
      </c>
      <c r="E199" s="6">
        <v>42000</v>
      </c>
      <c r="F199" s="8">
        <f t="shared" si="3"/>
        <v>1750</v>
      </c>
      <c r="G199" t="s">
        <v>65</v>
      </c>
      <c r="H199" t="s">
        <v>511</v>
      </c>
    </row>
    <row r="200" spans="1:8">
      <c r="A200" t="s">
        <v>478</v>
      </c>
      <c r="B200" t="s">
        <v>468</v>
      </c>
      <c r="C200" t="s">
        <v>175</v>
      </c>
      <c r="D200" t="s">
        <v>479</v>
      </c>
      <c r="E200" s="6">
        <v>12000</v>
      </c>
      <c r="F200" s="8">
        <f t="shared" si="3"/>
        <v>500</v>
      </c>
      <c r="G200" t="s">
        <v>65</v>
      </c>
      <c r="H200" t="s">
        <v>511</v>
      </c>
    </row>
    <row r="201" spans="1:8">
      <c r="A201" t="s">
        <v>480</v>
      </c>
      <c r="B201" t="s">
        <v>468</v>
      </c>
      <c r="C201" t="s">
        <v>481</v>
      </c>
      <c r="D201" t="s">
        <v>482</v>
      </c>
      <c r="E201" s="6">
        <v>35000</v>
      </c>
      <c r="F201" s="8">
        <f t="shared" si="3"/>
        <v>1458.3333333333333</v>
      </c>
      <c r="G201" t="s">
        <v>65</v>
      </c>
      <c r="H201" t="s">
        <v>511</v>
      </c>
    </row>
    <row r="202" spans="1:8">
      <c r="A202" t="s">
        <v>483</v>
      </c>
      <c r="B202" t="s">
        <v>468</v>
      </c>
      <c r="C202" t="s">
        <v>481</v>
      </c>
      <c r="D202" t="s">
        <v>484</v>
      </c>
      <c r="E202" s="6">
        <v>18000</v>
      </c>
      <c r="F202" s="8">
        <f t="shared" si="3"/>
        <v>750</v>
      </c>
      <c r="G202" t="s">
        <v>65</v>
      </c>
      <c r="H202" t="s">
        <v>511</v>
      </c>
    </row>
    <row r="203" spans="1:8">
      <c r="A203" t="s">
        <v>485</v>
      </c>
      <c r="B203" t="s">
        <v>468</v>
      </c>
      <c r="C203" t="s">
        <v>175</v>
      </c>
      <c r="D203" t="s">
        <v>486</v>
      </c>
      <c r="E203" s="6">
        <v>0</v>
      </c>
      <c r="F203" s="8">
        <f t="shared" si="3"/>
        <v>0</v>
      </c>
      <c r="G203" t="s">
        <v>70</v>
      </c>
    </row>
    <row r="204" spans="1:8">
      <c r="A204" t="s">
        <v>487</v>
      </c>
      <c r="B204" t="s">
        <v>468</v>
      </c>
      <c r="C204" t="s">
        <v>112</v>
      </c>
      <c r="D204" t="s">
        <v>488</v>
      </c>
      <c r="E204" s="6">
        <v>0</v>
      </c>
      <c r="F204" s="8">
        <f t="shared" si="3"/>
        <v>0</v>
      </c>
      <c r="G204" t="s">
        <v>70</v>
      </c>
    </row>
    <row r="205" spans="1:8">
      <c r="A205" t="s">
        <v>489</v>
      </c>
      <c r="B205" t="s">
        <v>468</v>
      </c>
      <c r="C205" t="s">
        <v>175</v>
      </c>
      <c r="D205" t="s">
        <v>490</v>
      </c>
      <c r="E205" s="6">
        <v>8000</v>
      </c>
      <c r="F205" s="8">
        <f t="shared" si="3"/>
        <v>333.33333333333331</v>
      </c>
      <c r="G205" t="s">
        <v>65</v>
      </c>
      <c r="H205" t="s">
        <v>511</v>
      </c>
    </row>
    <row r="206" spans="1:8">
      <c r="A206" t="s">
        <v>491</v>
      </c>
      <c r="B206" t="s">
        <v>468</v>
      </c>
      <c r="C206" t="s">
        <v>481</v>
      </c>
      <c r="D206" t="s">
        <v>492</v>
      </c>
      <c r="E206" s="6">
        <v>10000</v>
      </c>
      <c r="F206" s="8">
        <f t="shared" si="3"/>
        <v>416.66666666666669</v>
      </c>
      <c r="G206" t="s">
        <v>65</v>
      </c>
      <c r="H206" t="s">
        <v>511</v>
      </c>
    </row>
    <row r="207" spans="1:8">
      <c r="A207" t="s">
        <v>493</v>
      </c>
      <c r="B207" t="s">
        <v>468</v>
      </c>
      <c r="C207" t="s">
        <v>481</v>
      </c>
      <c r="D207" t="s">
        <v>494</v>
      </c>
      <c r="E207" s="6">
        <v>12000</v>
      </c>
      <c r="F207" s="8">
        <f t="shared" si="3"/>
        <v>500</v>
      </c>
      <c r="G207" t="s">
        <v>65</v>
      </c>
      <c r="H207" t="s">
        <v>511</v>
      </c>
    </row>
    <row r="208" spans="1:8">
      <c r="A208" t="s">
        <v>495</v>
      </c>
      <c r="B208" t="s">
        <v>468</v>
      </c>
      <c r="C208" t="s">
        <v>481</v>
      </c>
      <c r="D208" t="s">
        <v>496</v>
      </c>
      <c r="E208" s="6">
        <v>10000</v>
      </c>
      <c r="F208" s="8">
        <f t="shared" si="3"/>
        <v>416.66666666666669</v>
      </c>
      <c r="G208" t="s">
        <v>65</v>
      </c>
      <c r="H208" t="s">
        <v>511</v>
      </c>
    </row>
    <row r="209" spans="1:8">
      <c r="A209" t="s">
        <v>497</v>
      </c>
      <c r="B209" t="s">
        <v>468</v>
      </c>
      <c r="C209" t="s">
        <v>481</v>
      </c>
      <c r="D209" t="s">
        <v>498</v>
      </c>
      <c r="E209" s="6">
        <v>0</v>
      </c>
      <c r="F209" s="8">
        <f t="shared" si="3"/>
        <v>0</v>
      </c>
      <c r="G209" t="s">
        <v>70</v>
      </c>
    </row>
    <row r="210" spans="1:8">
      <c r="A210" t="s">
        <v>499</v>
      </c>
      <c r="B210" t="s">
        <v>468</v>
      </c>
      <c r="C210" t="s">
        <v>481</v>
      </c>
      <c r="D210" t="s">
        <v>500</v>
      </c>
      <c r="E210" s="6">
        <v>0</v>
      </c>
      <c r="F210" s="8">
        <f t="shared" si="3"/>
        <v>0</v>
      </c>
      <c r="G210" t="s">
        <v>70</v>
      </c>
    </row>
    <row r="211" spans="1:8">
      <c r="A211" t="s">
        <v>501</v>
      </c>
      <c r="B211" t="s">
        <v>468</v>
      </c>
      <c r="C211" t="s">
        <v>175</v>
      </c>
      <c r="D211" t="s">
        <v>502</v>
      </c>
      <c r="E211" s="6">
        <v>4000</v>
      </c>
      <c r="F211" s="8">
        <f t="shared" si="3"/>
        <v>166.66666666666666</v>
      </c>
      <c r="G211" t="s">
        <v>65</v>
      </c>
      <c r="H211" t="s">
        <v>511</v>
      </c>
    </row>
    <row r="212" spans="1:8">
      <c r="A212" t="s">
        <v>503</v>
      </c>
      <c r="B212" t="s">
        <v>468</v>
      </c>
      <c r="C212" t="s">
        <v>175</v>
      </c>
      <c r="D212" t="s">
        <v>504</v>
      </c>
      <c r="E212" s="6">
        <v>5000</v>
      </c>
      <c r="F212" s="8">
        <f t="shared" si="3"/>
        <v>208.33333333333334</v>
      </c>
      <c r="G212" t="s">
        <v>65</v>
      </c>
      <c r="H212" t="s">
        <v>511</v>
      </c>
    </row>
    <row r="213" spans="1:8">
      <c r="A213" t="s">
        <v>505</v>
      </c>
      <c r="B213" t="s">
        <v>468</v>
      </c>
      <c r="C213" t="s">
        <v>180</v>
      </c>
      <c r="D213" t="s">
        <v>506</v>
      </c>
      <c r="E213" s="6">
        <v>0</v>
      </c>
      <c r="F213" s="8">
        <f t="shared" si="3"/>
        <v>0</v>
      </c>
      <c r="G213" t="s">
        <v>70</v>
      </c>
    </row>
    <row r="214" spans="1:8" ht="15">
      <c r="A214" s="17" t="s">
        <v>527</v>
      </c>
      <c r="B214" s="17"/>
      <c r="C214" s="17"/>
      <c r="D214" s="17"/>
      <c r="E214" s="9">
        <f>SUM(E4:E213)</f>
        <v>8065500</v>
      </c>
      <c r="F214" s="9">
        <f>SUM(F4:F213)</f>
        <v>336062.50000000012</v>
      </c>
    </row>
  </sheetData>
  <mergeCells count="2">
    <mergeCell ref="A1:H1"/>
    <mergeCell ref="A214:D2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/>
  </sheetViews>
  <sheetFormatPr defaultRowHeight="14.25"/>
  <cols>
    <col min="1" max="1" width="13" customWidth="1"/>
    <col min="2" max="2" width="11" customWidth="1"/>
    <col min="3" max="3" width="36" customWidth="1"/>
    <col min="4" max="4" width="30" customWidth="1"/>
    <col min="5" max="5" width="11" customWidth="1"/>
    <col min="6" max="6" width="16" customWidth="1"/>
    <col min="7" max="7" width="13" customWidth="1"/>
    <col min="8" max="8" width="16" customWidth="1"/>
    <col min="9" max="9" width="20" customWidth="1"/>
    <col min="10" max="10" width="30" customWidth="1"/>
  </cols>
  <sheetData>
    <row r="1" spans="1:10" ht="27.95" customHeight="1">
      <c r="A1" s="16" t="s">
        <v>528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30">
      <c r="A3" s="3" t="s">
        <v>529</v>
      </c>
      <c r="B3" s="3" t="s">
        <v>54</v>
      </c>
      <c r="C3" s="3" t="s">
        <v>530</v>
      </c>
      <c r="D3" s="3" t="s">
        <v>531</v>
      </c>
      <c r="E3" s="3" t="s">
        <v>532</v>
      </c>
      <c r="F3" s="3" t="s">
        <v>533</v>
      </c>
      <c r="G3" s="3" t="s">
        <v>534</v>
      </c>
      <c r="H3" s="3" t="s">
        <v>535</v>
      </c>
      <c r="I3" s="3" t="s">
        <v>536</v>
      </c>
      <c r="J3" s="3" t="s">
        <v>1</v>
      </c>
    </row>
    <row r="4" spans="1:10">
      <c r="A4" s="4" t="s">
        <v>537</v>
      </c>
      <c r="B4" s="4" t="s">
        <v>215</v>
      </c>
      <c r="C4" s="4" t="s">
        <v>538</v>
      </c>
      <c r="D4" s="4" t="s">
        <v>539</v>
      </c>
      <c r="E4" s="4" t="s">
        <v>540</v>
      </c>
      <c r="F4" s="6">
        <v>115000</v>
      </c>
      <c r="G4" s="6" t="s">
        <v>541</v>
      </c>
      <c r="H4" s="6">
        <v>120000</v>
      </c>
      <c r="I4" s="7">
        <f t="shared" ref="I4:I29" si="0">H4-F4</f>
        <v>5000</v>
      </c>
      <c r="J4" t="s">
        <v>542</v>
      </c>
    </row>
    <row r="5" spans="1:10">
      <c r="A5" s="4" t="s">
        <v>543</v>
      </c>
      <c r="B5" s="4" t="s">
        <v>252</v>
      </c>
      <c r="C5" s="4" t="s">
        <v>544</v>
      </c>
      <c r="D5" s="4" t="s">
        <v>539</v>
      </c>
      <c r="E5" s="4" t="s">
        <v>540</v>
      </c>
      <c r="F5" s="6">
        <v>90000</v>
      </c>
      <c r="G5" s="6" t="s">
        <v>541</v>
      </c>
      <c r="H5" s="6">
        <v>95000</v>
      </c>
      <c r="I5" s="7">
        <f t="shared" si="0"/>
        <v>5000</v>
      </c>
      <c r="J5" t="s">
        <v>545</v>
      </c>
    </row>
    <row r="6" spans="1:10">
      <c r="A6" s="4" t="s">
        <v>546</v>
      </c>
      <c r="B6" s="4" t="s">
        <v>258</v>
      </c>
      <c r="C6" s="4" t="s">
        <v>547</v>
      </c>
      <c r="D6" s="4" t="s">
        <v>539</v>
      </c>
      <c r="E6" s="4" t="s">
        <v>540</v>
      </c>
      <c r="F6" s="6">
        <v>155000</v>
      </c>
      <c r="G6" s="6" t="s">
        <v>541</v>
      </c>
      <c r="H6" s="6">
        <v>165000</v>
      </c>
      <c r="I6" s="7">
        <f t="shared" si="0"/>
        <v>10000</v>
      </c>
      <c r="J6" t="s">
        <v>548</v>
      </c>
    </row>
    <row r="7" spans="1:10">
      <c r="A7" s="4" t="s">
        <v>549</v>
      </c>
      <c r="B7" s="4" t="s">
        <v>297</v>
      </c>
      <c r="C7" s="4" t="s">
        <v>550</v>
      </c>
      <c r="D7" s="4" t="s">
        <v>551</v>
      </c>
      <c r="E7" s="4" t="s">
        <v>540</v>
      </c>
      <c r="F7" s="6">
        <v>78000</v>
      </c>
      <c r="G7" s="6" t="s">
        <v>541</v>
      </c>
      <c r="H7" s="6">
        <v>82000</v>
      </c>
      <c r="I7" s="7">
        <f t="shared" si="0"/>
        <v>4000</v>
      </c>
      <c r="J7" t="s">
        <v>298</v>
      </c>
    </row>
    <row r="8" spans="1:10">
      <c r="A8" s="4" t="s">
        <v>552</v>
      </c>
      <c r="B8" s="4" t="s">
        <v>299</v>
      </c>
      <c r="C8" s="4" t="s">
        <v>553</v>
      </c>
      <c r="D8" s="4" t="s">
        <v>554</v>
      </c>
      <c r="E8" s="4" t="s">
        <v>540</v>
      </c>
      <c r="F8" s="6">
        <v>235000</v>
      </c>
      <c r="G8" s="6" t="s">
        <v>541</v>
      </c>
      <c r="H8" s="6">
        <v>245000</v>
      </c>
      <c r="I8" s="7">
        <f t="shared" si="0"/>
        <v>10000</v>
      </c>
      <c r="J8" t="s">
        <v>555</v>
      </c>
    </row>
    <row r="9" spans="1:10">
      <c r="A9" s="4" t="s">
        <v>556</v>
      </c>
      <c r="B9" s="4" t="s">
        <v>301</v>
      </c>
      <c r="C9" s="4" t="s">
        <v>557</v>
      </c>
      <c r="D9" s="4" t="s">
        <v>558</v>
      </c>
      <c r="E9" s="4" t="s">
        <v>540</v>
      </c>
      <c r="F9" s="6">
        <v>175000</v>
      </c>
      <c r="G9" s="6" t="s">
        <v>541</v>
      </c>
      <c r="H9" s="6">
        <v>180000</v>
      </c>
      <c r="I9" s="7">
        <f t="shared" si="0"/>
        <v>5000</v>
      </c>
      <c r="J9" t="s">
        <v>559</v>
      </c>
    </row>
    <row r="10" spans="1:10">
      <c r="A10" s="4" t="s">
        <v>560</v>
      </c>
      <c r="B10" s="4" t="s">
        <v>311</v>
      </c>
      <c r="C10" s="4" t="s">
        <v>561</v>
      </c>
      <c r="D10" s="4" t="s">
        <v>562</v>
      </c>
      <c r="E10" s="4" t="s">
        <v>540</v>
      </c>
      <c r="F10" s="6">
        <v>110000</v>
      </c>
      <c r="G10" s="6" t="s">
        <v>541</v>
      </c>
      <c r="H10" s="6">
        <v>115000</v>
      </c>
      <c r="I10" s="7">
        <f t="shared" si="0"/>
        <v>5000</v>
      </c>
      <c r="J10" t="s">
        <v>312</v>
      </c>
    </row>
    <row r="11" spans="1:10">
      <c r="A11" s="4" t="s">
        <v>563</v>
      </c>
      <c r="B11" s="4" t="s">
        <v>315</v>
      </c>
      <c r="C11" s="4" t="s">
        <v>564</v>
      </c>
      <c r="D11" s="4" t="s">
        <v>565</v>
      </c>
      <c r="E11" s="4" t="s">
        <v>540</v>
      </c>
      <c r="F11" s="6">
        <v>122000</v>
      </c>
      <c r="G11" s="6" t="s">
        <v>541</v>
      </c>
      <c r="H11" s="6">
        <v>125000</v>
      </c>
      <c r="I11" s="7">
        <f t="shared" si="0"/>
        <v>3000</v>
      </c>
      <c r="J11" t="s">
        <v>566</v>
      </c>
    </row>
    <row r="12" spans="1:10">
      <c r="A12" s="4" t="s">
        <v>567</v>
      </c>
      <c r="B12" s="4" t="s">
        <v>321</v>
      </c>
      <c r="C12" s="4" t="s">
        <v>568</v>
      </c>
      <c r="D12" s="4" t="s">
        <v>569</v>
      </c>
      <c r="E12" s="4" t="s">
        <v>540</v>
      </c>
      <c r="F12" s="6">
        <v>125000</v>
      </c>
      <c r="G12" s="6" t="s">
        <v>541</v>
      </c>
      <c r="H12" s="6">
        <v>128000</v>
      </c>
      <c r="I12" s="7">
        <f t="shared" si="0"/>
        <v>3000</v>
      </c>
      <c r="J12" t="s">
        <v>570</v>
      </c>
    </row>
    <row r="13" spans="1:10">
      <c r="A13" s="4" t="s">
        <v>571</v>
      </c>
      <c r="B13" s="4" t="s">
        <v>323</v>
      </c>
      <c r="C13" s="4" t="s">
        <v>572</v>
      </c>
      <c r="D13" s="4" t="s">
        <v>573</v>
      </c>
      <c r="E13" s="4" t="s">
        <v>540</v>
      </c>
      <c r="F13" s="6">
        <v>185000</v>
      </c>
      <c r="G13" s="6" t="s">
        <v>541</v>
      </c>
      <c r="H13" s="6">
        <v>190000</v>
      </c>
      <c r="I13" s="7">
        <f t="shared" si="0"/>
        <v>5000</v>
      </c>
      <c r="J13" t="s">
        <v>574</v>
      </c>
    </row>
    <row r="14" spans="1:10">
      <c r="A14" s="4" t="s">
        <v>575</v>
      </c>
      <c r="B14" s="4" t="s">
        <v>325</v>
      </c>
      <c r="C14" s="4" t="s">
        <v>576</v>
      </c>
      <c r="D14" s="4" t="s">
        <v>577</v>
      </c>
      <c r="E14" s="4" t="s">
        <v>540</v>
      </c>
      <c r="F14" s="6">
        <v>140000</v>
      </c>
      <c r="G14" s="6" t="s">
        <v>541</v>
      </c>
      <c r="H14" s="6">
        <v>145000</v>
      </c>
      <c r="I14" s="7">
        <f t="shared" si="0"/>
        <v>5000</v>
      </c>
      <c r="J14" t="s">
        <v>326</v>
      </c>
    </row>
    <row r="15" spans="1:10">
      <c r="A15" s="4" t="s">
        <v>578</v>
      </c>
      <c r="B15" s="4" t="s">
        <v>327</v>
      </c>
      <c r="C15" s="4" t="s">
        <v>579</v>
      </c>
      <c r="D15" s="4" t="s">
        <v>580</v>
      </c>
      <c r="E15" s="4" t="s">
        <v>540</v>
      </c>
      <c r="F15" s="6">
        <v>112000</v>
      </c>
      <c r="G15" s="6" t="s">
        <v>541</v>
      </c>
      <c r="H15" s="6">
        <v>118000</v>
      </c>
      <c r="I15" s="7">
        <f t="shared" si="0"/>
        <v>6000</v>
      </c>
      <c r="J15" t="s">
        <v>581</v>
      </c>
    </row>
    <row r="16" spans="1:10">
      <c r="A16" s="4" t="s">
        <v>582</v>
      </c>
      <c r="B16" s="4" t="s">
        <v>343</v>
      </c>
      <c r="C16" s="4" t="s">
        <v>583</v>
      </c>
      <c r="D16" s="4" t="s">
        <v>584</v>
      </c>
      <c r="E16" s="4" t="s">
        <v>540</v>
      </c>
      <c r="F16" s="6">
        <v>88000</v>
      </c>
      <c r="G16" s="6" t="s">
        <v>541</v>
      </c>
      <c r="H16" s="6">
        <v>92000</v>
      </c>
      <c r="I16" s="7">
        <f t="shared" si="0"/>
        <v>4000</v>
      </c>
      <c r="J16" t="s">
        <v>585</v>
      </c>
    </row>
    <row r="17" spans="1:10">
      <c r="A17" s="4" t="s">
        <v>586</v>
      </c>
      <c r="B17" s="4" t="s">
        <v>345</v>
      </c>
      <c r="C17" s="4" t="s">
        <v>587</v>
      </c>
      <c r="D17" s="4" t="s">
        <v>588</v>
      </c>
      <c r="E17" s="4" t="s">
        <v>540</v>
      </c>
      <c r="F17" s="6">
        <v>46000</v>
      </c>
      <c r="G17" s="6" t="s">
        <v>541</v>
      </c>
      <c r="H17" s="6">
        <v>48000</v>
      </c>
      <c r="I17" s="7">
        <f t="shared" si="0"/>
        <v>2000</v>
      </c>
      <c r="J17" t="s">
        <v>589</v>
      </c>
    </row>
    <row r="18" spans="1:10">
      <c r="A18" s="4" t="s">
        <v>590</v>
      </c>
      <c r="B18" s="4" t="s">
        <v>347</v>
      </c>
      <c r="C18" s="4" t="s">
        <v>591</v>
      </c>
      <c r="D18" s="4" t="s">
        <v>592</v>
      </c>
      <c r="E18" s="4" t="s">
        <v>540</v>
      </c>
      <c r="F18" s="6">
        <v>28000</v>
      </c>
      <c r="G18" s="6" t="s">
        <v>541</v>
      </c>
      <c r="H18" s="6">
        <v>30000</v>
      </c>
      <c r="I18" s="7">
        <f t="shared" si="0"/>
        <v>2000</v>
      </c>
      <c r="J18" t="s">
        <v>348</v>
      </c>
    </row>
    <row r="19" spans="1:10">
      <c r="A19" s="4" t="s">
        <v>593</v>
      </c>
      <c r="B19" s="4" t="s">
        <v>274</v>
      </c>
      <c r="C19" s="4" t="s">
        <v>594</v>
      </c>
      <c r="D19" s="4" t="s">
        <v>595</v>
      </c>
      <c r="E19" s="4" t="s">
        <v>540</v>
      </c>
      <c r="F19" s="6">
        <v>58000</v>
      </c>
      <c r="G19" s="6" t="s">
        <v>541</v>
      </c>
      <c r="H19" s="6">
        <v>62000</v>
      </c>
      <c r="I19" s="7">
        <f t="shared" si="0"/>
        <v>4000</v>
      </c>
      <c r="J19" t="s">
        <v>596</v>
      </c>
    </row>
    <row r="20" spans="1:10">
      <c r="A20" s="4" t="s">
        <v>597</v>
      </c>
      <c r="B20" s="4" t="s">
        <v>284</v>
      </c>
      <c r="C20" s="4" t="s">
        <v>598</v>
      </c>
      <c r="D20" s="4" t="s">
        <v>599</v>
      </c>
      <c r="E20" s="4" t="s">
        <v>540</v>
      </c>
      <c r="F20" s="6">
        <v>40000</v>
      </c>
      <c r="G20" s="6" t="s">
        <v>541</v>
      </c>
      <c r="H20" s="6">
        <v>48000</v>
      </c>
      <c r="I20" s="7">
        <f t="shared" si="0"/>
        <v>8000</v>
      </c>
      <c r="J20" t="s">
        <v>285</v>
      </c>
    </row>
    <row r="21" spans="1:10">
      <c r="A21" s="4" t="s">
        <v>600</v>
      </c>
      <c r="B21" s="4" t="s">
        <v>415</v>
      </c>
      <c r="C21" s="4" t="s">
        <v>601</v>
      </c>
      <c r="D21" s="4" t="s">
        <v>602</v>
      </c>
      <c r="E21" s="4" t="s">
        <v>540</v>
      </c>
      <c r="F21" s="6">
        <v>76000</v>
      </c>
      <c r="G21" s="6" t="s">
        <v>541</v>
      </c>
      <c r="H21" s="6">
        <v>80000</v>
      </c>
      <c r="I21" s="7">
        <f t="shared" si="0"/>
        <v>4000</v>
      </c>
      <c r="J21" t="s">
        <v>603</v>
      </c>
    </row>
    <row r="22" spans="1:10">
      <c r="A22" s="4" t="s">
        <v>604</v>
      </c>
      <c r="B22" s="4" t="s">
        <v>448</v>
      </c>
      <c r="C22" s="4" t="s">
        <v>605</v>
      </c>
      <c r="D22" s="4" t="s">
        <v>539</v>
      </c>
      <c r="E22" s="4" t="s">
        <v>540</v>
      </c>
      <c r="F22" s="6">
        <v>70000</v>
      </c>
      <c r="G22" s="6" t="s">
        <v>541</v>
      </c>
      <c r="H22" s="6">
        <v>75000</v>
      </c>
      <c r="I22" s="7">
        <f t="shared" si="0"/>
        <v>5000</v>
      </c>
      <c r="J22" t="s">
        <v>606</v>
      </c>
    </row>
    <row r="23" spans="1:10">
      <c r="A23" s="4" t="s">
        <v>607</v>
      </c>
      <c r="B23" s="4" t="s">
        <v>349</v>
      </c>
      <c r="C23" s="4" t="s">
        <v>608</v>
      </c>
      <c r="D23" s="4" t="s">
        <v>609</v>
      </c>
      <c r="E23" s="4" t="s">
        <v>610</v>
      </c>
      <c r="F23" s="6">
        <v>158000</v>
      </c>
      <c r="G23" s="6" t="s">
        <v>541</v>
      </c>
      <c r="H23" s="6">
        <v>165000</v>
      </c>
      <c r="I23" s="7">
        <f t="shared" si="0"/>
        <v>7000</v>
      </c>
      <c r="J23" t="s">
        <v>350</v>
      </c>
    </row>
    <row r="24" spans="1:10">
      <c r="A24" s="4" t="s">
        <v>611</v>
      </c>
      <c r="B24" s="4" t="s">
        <v>361</v>
      </c>
      <c r="C24" s="4" t="s">
        <v>612</v>
      </c>
      <c r="D24" s="4" t="s">
        <v>613</v>
      </c>
      <c r="E24" s="4" t="s">
        <v>610</v>
      </c>
      <c r="F24" s="6">
        <v>52000</v>
      </c>
      <c r="G24" s="6" t="s">
        <v>541</v>
      </c>
      <c r="H24" s="6">
        <v>54000</v>
      </c>
      <c r="I24" s="7">
        <f t="shared" si="0"/>
        <v>2000</v>
      </c>
      <c r="J24" t="s">
        <v>614</v>
      </c>
    </row>
    <row r="25" spans="1:10">
      <c r="A25" s="4" t="s">
        <v>615</v>
      </c>
      <c r="B25" s="4" t="s">
        <v>363</v>
      </c>
      <c r="C25" s="4" t="s">
        <v>616</v>
      </c>
      <c r="D25" s="4" t="s">
        <v>617</v>
      </c>
      <c r="E25" s="4" t="s">
        <v>610</v>
      </c>
      <c r="F25" s="6">
        <v>40000</v>
      </c>
      <c r="G25" s="6" t="s">
        <v>541</v>
      </c>
      <c r="H25" s="6">
        <v>42000</v>
      </c>
      <c r="I25" s="7">
        <f t="shared" si="0"/>
        <v>2000</v>
      </c>
      <c r="J25" t="s">
        <v>618</v>
      </c>
    </row>
    <row r="26" spans="1:10">
      <c r="A26" s="4" t="s">
        <v>619</v>
      </c>
      <c r="B26" s="4" t="s">
        <v>365</v>
      </c>
      <c r="C26" s="4" t="s">
        <v>620</v>
      </c>
      <c r="D26" s="4" t="s">
        <v>621</v>
      </c>
      <c r="E26" s="4" t="s">
        <v>610</v>
      </c>
      <c r="F26" s="6">
        <v>50000</v>
      </c>
      <c r="G26" s="6" t="s">
        <v>541</v>
      </c>
      <c r="H26" s="6">
        <v>52000</v>
      </c>
      <c r="I26" s="7">
        <f t="shared" si="0"/>
        <v>2000</v>
      </c>
      <c r="J26" t="s">
        <v>622</v>
      </c>
    </row>
    <row r="27" spans="1:10">
      <c r="A27" s="4" t="s">
        <v>623</v>
      </c>
      <c r="B27" s="4" t="s">
        <v>381</v>
      </c>
      <c r="C27" s="4" t="s">
        <v>624</v>
      </c>
      <c r="D27" s="4" t="s">
        <v>625</v>
      </c>
      <c r="E27" s="4" t="s">
        <v>610</v>
      </c>
      <c r="F27" s="6">
        <v>82000</v>
      </c>
      <c r="G27" s="6" t="s">
        <v>541</v>
      </c>
      <c r="H27" s="6">
        <v>85000</v>
      </c>
      <c r="I27" s="7">
        <f t="shared" si="0"/>
        <v>3000</v>
      </c>
      <c r="J27" t="s">
        <v>626</v>
      </c>
    </row>
    <row r="28" spans="1:10">
      <c r="A28" s="4" t="s">
        <v>627</v>
      </c>
      <c r="B28" s="4" t="s">
        <v>395</v>
      </c>
      <c r="C28" s="4" t="s">
        <v>628</v>
      </c>
      <c r="D28" s="4" t="s">
        <v>629</v>
      </c>
      <c r="E28" s="4" t="s">
        <v>610</v>
      </c>
      <c r="F28" s="6">
        <v>40000</v>
      </c>
      <c r="G28" s="6" t="s">
        <v>541</v>
      </c>
      <c r="H28" s="6">
        <v>42000</v>
      </c>
      <c r="I28" s="7">
        <f t="shared" si="0"/>
        <v>2000</v>
      </c>
      <c r="J28" t="s">
        <v>630</v>
      </c>
    </row>
    <row r="29" spans="1:10">
      <c r="A29" s="4" t="s">
        <v>631</v>
      </c>
      <c r="B29" s="4" t="s">
        <v>329</v>
      </c>
      <c r="C29" s="4" t="s">
        <v>632</v>
      </c>
      <c r="D29" s="4" t="s">
        <v>633</v>
      </c>
      <c r="E29" s="4" t="s">
        <v>610</v>
      </c>
      <c r="F29" s="6">
        <v>55000</v>
      </c>
      <c r="G29" s="6" t="s">
        <v>541</v>
      </c>
      <c r="H29" s="6">
        <v>58000</v>
      </c>
      <c r="I29" s="7">
        <f t="shared" si="0"/>
        <v>3000</v>
      </c>
      <c r="J29" t="s">
        <v>330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workbookViewId="0"/>
  </sheetViews>
  <sheetFormatPr defaultRowHeight="14.25"/>
  <cols>
    <col min="1" max="1" width="12" customWidth="1"/>
    <col min="2" max="2" width="11" customWidth="1"/>
    <col min="3" max="3" width="29" customWidth="1"/>
    <col min="4" max="4" width="18" customWidth="1"/>
    <col min="5" max="5" width="42" customWidth="1"/>
    <col min="6" max="6" width="15" customWidth="1"/>
    <col min="7" max="7" width="13" customWidth="1"/>
    <col min="8" max="8" width="22" customWidth="1"/>
    <col min="9" max="9" width="17" customWidth="1"/>
    <col min="10" max="10" width="14" customWidth="1"/>
    <col min="11" max="11" width="16" customWidth="1"/>
    <col min="12" max="12" width="40" customWidth="1"/>
  </cols>
  <sheetData>
    <row r="1" spans="1:12" ht="27.95" customHeight="1">
      <c r="A1" s="16" t="s">
        <v>634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2" ht="15">
      <c r="A3" s="3" t="s">
        <v>635</v>
      </c>
      <c r="B3" s="3" t="s">
        <v>54</v>
      </c>
      <c r="C3" s="3" t="s">
        <v>531</v>
      </c>
      <c r="D3" s="3" t="s">
        <v>636</v>
      </c>
      <c r="E3" s="3" t="s">
        <v>637</v>
      </c>
      <c r="F3" s="3" t="s">
        <v>638</v>
      </c>
      <c r="G3" s="3" t="s">
        <v>534</v>
      </c>
      <c r="H3" s="3" t="s">
        <v>639</v>
      </c>
      <c r="I3" s="3" t="s">
        <v>640</v>
      </c>
      <c r="J3" s="3" t="s">
        <v>641</v>
      </c>
      <c r="K3" s="3" t="s">
        <v>642</v>
      </c>
      <c r="L3" s="3" t="s">
        <v>643</v>
      </c>
    </row>
    <row r="4" spans="1:12">
      <c r="A4" s="4" t="s">
        <v>644</v>
      </c>
      <c r="B4" s="4" t="s">
        <v>215</v>
      </c>
      <c r="C4" s="4" t="s">
        <v>539</v>
      </c>
      <c r="D4" s="4" t="s">
        <v>645</v>
      </c>
      <c r="E4" s="4" t="s">
        <v>646</v>
      </c>
      <c r="F4" s="6">
        <v>35000</v>
      </c>
      <c r="G4" s="4" t="s">
        <v>647</v>
      </c>
      <c r="H4" s="4" t="s">
        <v>648</v>
      </c>
      <c r="I4" s="4"/>
      <c r="J4" s="4"/>
      <c r="K4" s="7">
        <v>35000</v>
      </c>
      <c r="L4" t="s">
        <v>649</v>
      </c>
    </row>
    <row r="5" spans="1:12">
      <c r="A5" s="4" t="s">
        <v>650</v>
      </c>
      <c r="B5" s="4" t="s">
        <v>215</v>
      </c>
      <c r="C5" s="4" t="s">
        <v>539</v>
      </c>
      <c r="D5" s="4" t="s">
        <v>645</v>
      </c>
      <c r="E5" s="4" t="s">
        <v>651</v>
      </c>
      <c r="F5" s="6">
        <v>20000</v>
      </c>
      <c r="G5" s="4" t="s">
        <v>652</v>
      </c>
      <c r="H5" s="4" t="s">
        <v>648</v>
      </c>
      <c r="I5" s="4"/>
      <c r="J5" s="4"/>
      <c r="K5" s="7">
        <v>0</v>
      </c>
      <c r="L5" t="s">
        <v>653</v>
      </c>
    </row>
    <row r="6" spans="1:12">
      <c r="A6" s="4" t="s">
        <v>654</v>
      </c>
      <c r="B6" s="4" t="s">
        <v>299</v>
      </c>
      <c r="C6" s="4" t="s">
        <v>554</v>
      </c>
      <c r="D6" s="4" t="s">
        <v>645</v>
      </c>
      <c r="E6" s="4" t="s">
        <v>655</v>
      </c>
      <c r="F6" s="6">
        <v>5000</v>
      </c>
      <c r="G6" s="4" t="s">
        <v>647</v>
      </c>
      <c r="H6" s="4" t="s">
        <v>648</v>
      </c>
      <c r="I6" s="4"/>
      <c r="J6" s="4"/>
      <c r="K6" s="7">
        <v>5000</v>
      </c>
      <c r="L6" t="s">
        <v>656</v>
      </c>
    </row>
    <row r="7" spans="1:12">
      <c r="A7" s="4" t="s">
        <v>657</v>
      </c>
      <c r="B7" s="4" t="s">
        <v>325</v>
      </c>
      <c r="C7" s="4" t="s">
        <v>577</v>
      </c>
      <c r="D7" s="4" t="s">
        <v>658</v>
      </c>
      <c r="E7" s="4" t="s">
        <v>659</v>
      </c>
      <c r="F7" s="6">
        <v>12000</v>
      </c>
      <c r="G7" s="4" t="s">
        <v>647</v>
      </c>
      <c r="H7" s="4" t="s">
        <v>648</v>
      </c>
      <c r="I7" s="4"/>
      <c r="J7" s="4"/>
      <c r="K7" s="7">
        <v>12000</v>
      </c>
      <c r="L7" t="s">
        <v>660</v>
      </c>
    </row>
    <row r="8" spans="1:12">
      <c r="A8" s="4" t="s">
        <v>661</v>
      </c>
      <c r="B8" s="4" t="s">
        <v>325</v>
      </c>
      <c r="C8" s="4" t="s">
        <v>577</v>
      </c>
      <c r="D8" s="4" t="s">
        <v>645</v>
      </c>
      <c r="E8" s="4" t="s">
        <v>662</v>
      </c>
      <c r="F8" s="6">
        <v>4000</v>
      </c>
      <c r="G8" s="4" t="s">
        <v>647</v>
      </c>
      <c r="H8" s="4" t="s">
        <v>648</v>
      </c>
      <c r="I8" s="4" t="s">
        <v>663</v>
      </c>
      <c r="J8" s="4" t="s">
        <v>664</v>
      </c>
      <c r="K8" s="7">
        <v>4000</v>
      </c>
      <c r="L8" t="s">
        <v>665</v>
      </c>
    </row>
    <row r="9" spans="1:12">
      <c r="A9" s="4" t="s">
        <v>664</v>
      </c>
      <c r="B9" s="4" t="s">
        <v>321</v>
      </c>
      <c r="C9" s="4" t="s">
        <v>569</v>
      </c>
      <c r="D9" s="4" t="s">
        <v>666</v>
      </c>
      <c r="E9" s="4" t="s">
        <v>662</v>
      </c>
      <c r="F9" s="6">
        <v>-4000</v>
      </c>
      <c r="G9" s="4" t="s">
        <v>647</v>
      </c>
      <c r="H9" s="4" t="s">
        <v>667</v>
      </c>
      <c r="I9" s="4" t="s">
        <v>668</v>
      </c>
      <c r="J9" s="4" t="s">
        <v>661</v>
      </c>
      <c r="K9" s="7">
        <v>0</v>
      </c>
      <c r="L9" t="s">
        <v>669</v>
      </c>
    </row>
    <row r="10" spans="1:12">
      <c r="A10" s="4" t="s">
        <v>670</v>
      </c>
      <c r="B10" s="4" t="s">
        <v>323</v>
      </c>
      <c r="C10" s="4" t="s">
        <v>573</v>
      </c>
      <c r="D10" s="4" t="s">
        <v>671</v>
      </c>
      <c r="E10" s="4" t="s">
        <v>672</v>
      </c>
      <c r="F10" s="6">
        <v>-6000</v>
      </c>
      <c r="G10" s="4" t="s">
        <v>647</v>
      </c>
      <c r="H10" s="4" t="s">
        <v>648</v>
      </c>
      <c r="I10" s="4"/>
      <c r="J10" s="4"/>
      <c r="K10" s="7">
        <v>-6000</v>
      </c>
      <c r="L10" t="s">
        <v>673</v>
      </c>
    </row>
    <row r="11" spans="1:12">
      <c r="A11" s="4" t="s">
        <v>674</v>
      </c>
      <c r="B11" s="4" t="s">
        <v>315</v>
      </c>
      <c r="C11" s="4" t="s">
        <v>565</v>
      </c>
      <c r="D11" s="4" t="s">
        <v>671</v>
      </c>
      <c r="E11" s="4" t="s">
        <v>675</v>
      </c>
      <c r="F11" s="6">
        <v>-3000</v>
      </c>
      <c r="G11" s="4" t="s">
        <v>647</v>
      </c>
      <c r="H11" s="4" t="s">
        <v>648</v>
      </c>
      <c r="I11" s="4"/>
      <c r="J11" s="4"/>
      <c r="K11" s="7">
        <v>-3000</v>
      </c>
      <c r="L11" t="s">
        <v>673</v>
      </c>
    </row>
    <row r="12" spans="1:12">
      <c r="A12" s="4" t="s">
        <v>676</v>
      </c>
      <c r="B12" s="4" t="s">
        <v>311</v>
      </c>
      <c r="C12" s="4" t="s">
        <v>562</v>
      </c>
      <c r="D12" s="4" t="s">
        <v>645</v>
      </c>
      <c r="E12" s="4" t="s">
        <v>677</v>
      </c>
      <c r="F12" s="6">
        <v>8000</v>
      </c>
      <c r="G12" s="4" t="s">
        <v>652</v>
      </c>
      <c r="H12" s="4" t="s">
        <v>648</v>
      </c>
      <c r="I12" s="4"/>
      <c r="J12" s="4"/>
      <c r="K12" s="7">
        <v>0</v>
      </c>
      <c r="L12" t="s">
        <v>678</v>
      </c>
    </row>
    <row r="13" spans="1:12">
      <c r="A13" s="4" t="s">
        <v>679</v>
      </c>
      <c r="B13" s="4" t="s">
        <v>347</v>
      </c>
      <c r="C13" s="4" t="s">
        <v>592</v>
      </c>
      <c r="D13" s="4" t="s">
        <v>666</v>
      </c>
      <c r="E13" s="4" t="s">
        <v>680</v>
      </c>
      <c r="F13" s="6">
        <v>-1500</v>
      </c>
      <c r="G13" s="4" t="s">
        <v>647</v>
      </c>
      <c r="H13" s="4" t="s">
        <v>667</v>
      </c>
      <c r="I13" s="4" t="s">
        <v>668</v>
      </c>
      <c r="J13" s="4"/>
      <c r="K13" s="7">
        <v>0</v>
      </c>
      <c r="L13" t="s">
        <v>681</v>
      </c>
    </row>
    <row r="14" spans="1:12">
      <c r="A14" s="4" t="s">
        <v>682</v>
      </c>
      <c r="B14" s="4" t="s">
        <v>343</v>
      </c>
      <c r="C14" s="4" t="s">
        <v>584</v>
      </c>
      <c r="D14" s="4" t="s">
        <v>645</v>
      </c>
      <c r="E14" s="4" t="s">
        <v>683</v>
      </c>
      <c r="F14" s="6">
        <v>2000</v>
      </c>
      <c r="G14" s="4" t="s">
        <v>684</v>
      </c>
      <c r="H14" s="4" t="s">
        <v>648</v>
      </c>
      <c r="I14" s="4"/>
      <c r="J14" s="4"/>
      <c r="K14" s="7">
        <v>0</v>
      </c>
      <c r="L14" t="s">
        <v>685</v>
      </c>
    </row>
    <row r="15" spans="1:12">
      <c r="A15" s="4" t="s">
        <v>686</v>
      </c>
      <c r="B15" s="4" t="s">
        <v>448</v>
      </c>
      <c r="C15" s="4" t="s">
        <v>539</v>
      </c>
      <c r="D15" s="4" t="s">
        <v>645</v>
      </c>
      <c r="E15" s="4" t="s">
        <v>687</v>
      </c>
      <c r="F15" s="6">
        <v>6500</v>
      </c>
      <c r="G15" s="4" t="s">
        <v>647</v>
      </c>
      <c r="H15" s="4" t="s">
        <v>648</v>
      </c>
      <c r="I15" s="4"/>
      <c r="J15" s="4"/>
      <c r="K15" s="7">
        <v>6500</v>
      </c>
      <c r="L15" t="s">
        <v>688</v>
      </c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/>
  </sheetViews>
  <sheetFormatPr defaultRowHeight="14.25"/>
  <cols>
    <col min="1" max="1" width="13" customWidth="1"/>
    <col min="2" max="2" width="14" customWidth="1"/>
    <col min="3" max="3" width="12" customWidth="1"/>
    <col min="4" max="4" width="16" customWidth="1"/>
    <col min="5" max="5" width="15" customWidth="1"/>
    <col min="6" max="6" width="20" customWidth="1"/>
    <col min="7" max="8" width="16" customWidth="1"/>
    <col min="9" max="9" width="42" customWidth="1"/>
    <col min="10" max="10" width="32" customWidth="1"/>
  </cols>
  <sheetData>
    <row r="1" spans="1:10" ht="27.95" customHeight="1">
      <c r="A1" s="16" t="s">
        <v>689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30">
      <c r="A3" s="3" t="s">
        <v>529</v>
      </c>
      <c r="B3" s="3" t="s">
        <v>690</v>
      </c>
      <c r="C3" s="3" t="s">
        <v>534</v>
      </c>
      <c r="D3" s="3" t="s">
        <v>691</v>
      </c>
      <c r="E3" s="3" t="s">
        <v>692</v>
      </c>
      <c r="F3" s="3" t="s">
        <v>693</v>
      </c>
      <c r="G3" s="3" t="s">
        <v>694</v>
      </c>
      <c r="H3" s="3" t="s">
        <v>695</v>
      </c>
      <c r="I3" s="3" t="s">
        <v>696</v>
      </c>
      <c r="J3" s="3" t="s">
        <v>60</v>
      </c>
    </row>
    <row r="4" spans="1:10">
      <c r="A4" s="4" t="s">
        <v>537</v>
      </c>
      <c r="B4" s="4">
        <v>1</v>
      </c>
      <c r="C4" s="4" t="s">
        <v>697</v>
      </c>
      <c r="D4" s="6">
        <v>45000</v>
      </c>
      <c r="E4" s="6">
        <v>2250</v>
      </c>
      <c r="F4" s="6">
        <v>0</v>
      </c>
      <c r="G4" s="6">
        <v>42750</v>
      </c>
      <c r="H4" s="5">
        <v>46203</v>
      </c>
      <c r="I4" s="4"/>
      <c r="J4" s="4" t="s">
        <v>698</v>
      </c>
    </row>
    <row r="5" spans="1:10">
      <c r="A5" s="4" t="s">
        <v>537</v>
      </c>
      <c r="B5" s="4">
        <v>2</v>
      </c>
      <c r="C5" s="4" t="s">
        <v>697</v>
      </c>
      <c r="D5" s="6">
        <v>52000</v>
      </c>
      <c r="E5" s="6">
        <v>2600</v>
      </c>
      <c r="F5" s="6">
        <v>0</v>
      </c>
      <c r="G5" s="6">
        <v>49400</v>
      </c>
      <c r="H5" s="5">
        <v>46265</v>
      </c>
      <c r="I5" s="4"/>
      <c r="J5" s="4" t="s">
        <v>698</v>
      </c>
    </row>
    <row r="6" spans="1:10">
      <c r="A6" s="4" t="s">
        <v>549</v>
      </c>
      <c r="B6" s="4">
        <v>1</v>
      </c>
      <c r="C6" s="4" t="s">
        <v>697</v>
      </c>
      <c r="D6" s="6">
        <v>24000</v>
      </c>
      <c r="E6" s="6">
        <v>1200</v>
      </c>
      <c r="F6" s="6">
        <v>0</v>
      </c>
      <c r="G6" s="6">
        <v>22800</v>
      </c>
      <c r="H6" s="5">
        <v>46234</v>
      </c>
      <c r="I6" s="4"/>
      <c r="J6" s="4" t="s">
        <v>698</v>
      </c>
    </row>
    <row r="7" spans="1:10">
      <c r="A7" s="4" t="s">
        <v>552</v>
      </c>
      <c r="B7" s="4">
        <v>1</v>
      </c>
      <c r="C7" s="4" t="s">
        <v>697</v>
      </c>
      <c r="D7" s="6">
        <v>28500</v>
      </c>
      <c r="E7" s="6">
        <v>1425</v>
      </c>
      <c r="F7" s="6">
        <v>0</v>
      </c>
      <c r="G7" s="6">
        <v>27075</v>
      </c>
      <c r="H7" s="5">
        <v>46142</v>
      </c>
      <c r="I7" s="4"/>
      <c r="J7" s="4" t="s">
        <v>698</v>
      </c>
    </row>
    <row r="8" spans="1:10">
      <c r="A8" s="4" t="s">
        <v>552</v>
      </c>
      <c r="B8" s="4">
        <v>2</v>
      </c>
      <c r="C8" s="4" t="s">
        <v>697</v>
      </c>
      <c r="D8" s="6">
        <v>34000</v>
      </c>
      <c r="E8" s="6">
        <v>1700</v>
      </c>
      <c r="F8" s="6">
        <v>0</v>
      </c>
      <c r="G8" s="6">
        <v>32300</v>
      </c>
      <c r="H8" s="5">
        <v>46173</v>
      </c>
      <c r="I8" s="4"/>
      <c r="J8" s="4" t="s">
        <v>698</v>
      </c>
    </row>
    <row r="9" spans="1:10">
      <c r="A9" s="4" t="s">
        <v>552</v>
      </c>
      <c r="B9" s="4">
        <v>3</v>
      </c>
      <c r="C9" s="4" t="s">
        <v>697</v>
      </c>
      <c r="D9" s="6">
        <v>31500</v>
      </c>
      <c r="E9" s="6">
        <v>1575</v>
      </c>
      <c r="F9" s="6">
        <v>0</v>
      </c>
      <c r="G9" s="6">
        <v>29925</v>
      </c>
      <c r="H9" s="5">
        <v>46203</v>
      </c>
      <c r="I9" s="4"/>
      <c r="J9" s="4" t="s">
        <v>698</v>
      </c>
    </row>
    <row r="10" spans="1:10">
      <c r="A10" s="4" t="s">
        <v>552</v>
      </c>
      <c r="B10" s="4">
        <v>4</v>
      </c>
      <c r="C10" s="4" t="s">
        <v>697</v>
      </c>
      <c r="D10" s="6">
        <v>18000</v>
      </c>
      <c r="E10" s="6">
        <v>900</v>
      </c>
      <c r="F10" s="6">
        <v>0</v>
      </c>
      <c r="G10" s="6">
        <v>17100</v>
      </c>
      <c r="H10" s="5">
        <v>46234</v>
      </c>
      <c r="I10" s="4"/>
      <c r="J10" s="4" t="s">
        <v>698</v>
      </c>
    </row>
    <row r="11" spans="1:10">
      <c r="A11" s="4" t="s">
        <v>556</v>
      </c>
      <c r="B11" s="4">
        <v>1</v>
      </c>
      <c r="C11" s="4" t="s">
        <v>697</v>
      </c>
      <c r="D11" s="6">
        <v>42000</v>
      </c>
      <c r="E11" s="6">
        <v>2100</v>
      </c>
      <c r="F11" s="6">
        <v>0</v>
      </c>
      <c r="G11" s="6">
        <v>39900</v>
      </c>
      <c r="H11" s="5">
        <v>46234</v>
      </c>
      <c r="I11" s="4"/>
      <c r="J11" s="4" t="s">
        <v>698</v>
      </c>
    </row>
    <row r="12" spans="1:10">
      <c r="A12" s="4" t="s">
        <v>556</v>
      </c>
      <c r="B12" s="4">
        <v>2</v>
      </c>
      <c r="C12" s="4" t="s">
        <v>697</v>
      </c>
      <c r="D12" s="6">
        <v>35000</v>
      </c>
      <c r="E12" s="6">
        <v>1750</v>
      </c>
      <c r="F12" s="6">
        <v>0</v>
      </c>
      <c r="G12" s="6">
        <v>33250</v>
      </c>
      <c r="H12" s="5">
        <v>46295</v>
      </c>
      <c r="I12" s="4"/>
      <c r="J12" s="4" t="s">
        <v>698</v>
      </c>
    </row>
    <row r="13" spans="1:10">
      <c r="A13" s="4" t="s">
        <v>560</v>
      </c>
      <c r="B13" s="4">
        <v>1</v>
      </c>
      <c r="C13" s="4" t="s">
        <v>697</v>
      </c>
      <c r="D13" s="6">
        <v>30000</v>
      </c>
      <c r="E13" s="6">
        <v>1500</v>
      </c>
      <c r="F13" s="6">
        <v>0</v>
      </c>
      <c r="G13" s="6">
        <v>28500</v>
      </c>
      <c r="H13" s="5">
        <v>46295</v>
      </c>
      <c r="I13" s="4"/>
      <c r="J13" s="4" t="s">
        <v>698</v>
      </c>
    </row>
    <row r="14" spans="1:10">
      <c r="A14" s="4" t="s">
        <v>563</v>
      </c>
      <c r="B14" s="4">
        <v>1</v>
      </c>
      <c r="C14" s="4" t="s">
        <v>697</v>
      </c>
      <c r="D14" s="6">
        <v>36000</v>
      </c>
      <c r="E14" s="6">
        <v>1800</v>
      </c>
      <c r="F14" s="6">
        <v>0</v>
      </c>
      <c r="G14" s="6">
        <v>34200</v>
      </c>
      <c r="H14" s="5">
        <v>46295</v>
      </c>
      <c r="I14" s="4"/>
      <c r="J14" s="4" t="s">
        <v>698</v>
      </c>
    </row>
    <row r="15" spans="1:10">
      <c r="A15" s="4" t="s">
        <v>567</v>
      </c>
      <c r="B15" s="4">
        <v>1</v>
      </c>
      <c r="C15" s="4" t="s">
        <v>697</v>
      </c>
      <c r="D15" s="6">
        <v>32000</v>
      </c>
      <c r="E15" s="6">
        <v>1600</v>
      </c>
      <c r="F15" s="6">
        <v>0</v>
      </c>
      <c r="G15" s="6">
        <v>30400</v>
      </c>
      <c r="H15" s="5">
        <v>46265</v>
      </c>
      <c r="I15" s="4"/>
      <c r="J15" s="4" t="s">
        <v>698</v>
      </c>
    </row>
    <row r="16" spans="1:10">
      <c r="A16" s="4" t="s">
        <v>567</v>
      </c>
      <c r="B16" s="4">
        <v>2</v>
      </c>
      <c r="C16" s="4" t="s">
        <v>697</v>
      </c>
      <c r="D16" s="6">
        <v>28000</v>
      </c>
      <c r="E16" s="6">
        <v>1400</v>
      </c>
      <c r="F16" s="6">
        <v>-1500</v>
      </c>
      <c r="G16" s="6">
        <v>25100</v>
      </c>
      <c r="H16" s="5">
        <v>46326</v>
      </c>
      <c r="I16" s="4" t="s">
        <v>699</v>
      </c>
      <c r="J16" s="4" t="s">
        <v>698</v>
      </c>
    </row>
    <row r="17" spans="1:10">
      <c r="A17" s="4" t="s">
        <v>571</v>
      </c>
      <c r="B17" s="4">
        <v>1</v>
      </c>
      <c r="C17" s="4" t="s">
        <v>697</v>
      </c>
      <c r="D17" s="6">
        <v>48000</v>
      </c>
      <c r="E17" s="6">
        <v>2400</v>
      </c>
      <c r="F17" s="6">
        <v>0</v>
      </c>
      <c r="G17" s="6">
        <v>45600</v>
      </c>
      <c r="H17" s="5">
        <v>46265</v>
      </c>
      <c r="I17" s="4"/>
      <c r="J17" s="4" t="s">
        <v>698</v>
      </c>
    </row>
    <row r="18" spans="1:10">
      <c r="A18" s="4" t="s">
        <v>571</v>
      </c>
      <c r="B18" s="4">
        <v>2</v>
      </c>
      <c r="C18" s="4" t="s">
        <v>697</v>
      </c>
      <c r="D18" s="6">
        <v>39000</v>
      </c>
      <c r="E18" s="6">
        <v>1950</v>
      </c>
      <c r="F18" s="6">
        <v>0</v>
      </c>
      <c r="G18" s="6">
        <v>37050</v>
      </c>
      <c r="H18" s="5">
        <v>46326</v>
      </c>
      <c r="I18" s="4"/>
      <c r="J18" s="4" t="s">
        <v>698</v>
      </c>
    </row>
    <row r="19" spans="1:10">
      <c r="A19" s="4" t="s">
        <v>575</v>
      </c>
      <c r="B19" s="4">
        <v>1</v>
      </c>
      <c r="C19" s="4" t="s">
        <v>697</v>
      </c>
      <c r="D19" s="6">
        <v>34000</v>
      </c>
      <c r="E19" s="6">
        <v>1700</v>
      </c>
      <c r="F19" s="6">
        <v>0</v>
      </c>
      <c r="G19" s="6">
        <v>32300</v>
      </c>
      <c r="H19" s="5">
        <v>46234</v>
      </c>
      <c r="I19" s="4"/>
      <c r="J19" s="4" t="s">
        <v>698</v>
      </c>
    </row>
    <row r="20" spans="1:10">
      <c r="A20" s="4" t="s">
        <v>575</v>
      </c>
      <c r="B20" s="4">
        <v>2</v>
      </c>
      <c r="C20" s="4" t="s">
        <v>697</v>
      </c>
      <c r="D20" s="6">
        <v>26000</v>
      </c>
      <c r="E20" s="6">
        <v>1300</v>
      </c>
      <c r="F20" s="6">
        <v>0</v>
      </c>
      <c r="G20" s="6">
        <v>24700</v>
      </c>
      <c r="H20" s="5">
        <v>46295</v>
      </c>
      <c r="I20" s="4"/>
      <c r="J20" s="4" t="s">
        <v>698</v>
      </c>
    </row>
    <row r="21" spans="1:10">
      <c r="A21" s="4" t="s">
        <v>578</v>
      </c>
      <c r="B21" s="4">
        <v>1</v>
      </c>
      <c r="C21" s="4" t="s">
        <v>697</v>
      </c>
      <c r="D21" s="6">
        <v>30000</v>
      </c>
      <c r="E21" s="6">
        <v>1500</v>
      </c>
      <c r="F21" s="6">
        <v>0</v>
      </c>
      <c r="G21" s="6">
        <v>28500</v>
      </c>
      <c r="H21" s="5">
        <v>46295</v>
      </c>
      <c r="I21" s="4"/>
      <c r="J21" s="4" t="s">
        <v>698</v>
      </c>
    </row>
    <row r="22" spans="1:10">
      <c r="A22" s="4" t="s">
        <v>582</v>
      </c>
      <c r="B22" s="4">
        <v>1</v>
      </c>
      <c r="C22" s="4" t="s">
        <v>697</v>
      </c>
      <c r="D22" s="6">
        <v>28000</v>
      </c>
      <c r="E22" s="6">
        <v>1400</v>
      </c>
      <c r="F22" s="6">
        <v>0</v>
      </c>
      <c r="G22" s="6">
        <v>26600</v>
      </c>
      <c r="H22" s="5">
        <v>46265</v>
      </c>
      <c r="I22" s="4"/>
      <c r="J22" s="4" t="s">
        <v>698</v>
      </c>
    </row>
    <row r="23" spans="1:10">
      <c r="A23" s="4" t="s">
        <v>586</v>
      </c>
      <c r="B23" s="4">
        <v>1</v>
      </c>
      <c r="C23" s="4" t="s">
        <v>697</v>
      </c>
      <c r="D23" s="6">
        <v>18000</v>
      </c>
      <c r="E23" s="6">
        <v>900</v>
      </c>
      <c r="F23" s="6">
        <v>0</v>
      </c>
      <c r="G23" s="6">
        <v>17100</v>
      </c>
      <c r="H23" s="5">
        <v>46295</v>
      </c>
      <c r="I23" s="4"/>
      <c r="J23" s="4" t="s">
        <v>698</v>
      </c>
    </row>
    <row r="24" spans="1:10">
      <c r="A24" s="4" t="s">
        <v>600</v>
      </c>
      <c r="B24" s="4">
        <v>1</v>
      </c>
      <c r="C24" s="4" t="s">
        <v>697</v>
      </c>
      <c r="D24" s="6">
        <v>56000</v>
      </c>
      <c r="E24" s="6">
        <v>2800</v>
      </c>
      <c r="F24" s="6">
        <v>0</v>
      </c>
      <c r="G24" s="6">
        <v>53200</v>
      </c>
      <c r="H24" s="5">
        <v>46203</v>
      </c>
      <c r="I24" s="4"/>
      <c r="J24" s="4" t="s">
        <v>698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4"/>
  <sheetViews>
    <sheetView workbookViewId="0"/>
  </sheetViews>
  <sheetFormatPr defaultRowHeight="14.25"/>
  <cols>
    <col min="1" max="1" width="15" customWidth="1"/>
    <col min="2" max="2" width="11" customWidth="1"/>
    <col min="3" max="3" width="18" customWidth="1"/>
    <col min="4" max="4" width="42" customWidth="1"/>
    <col min="5" max="5" width="30" customWidth="1"/>
    <col min="6" max="6" width="16" customWidth="1"/>
    <col min="7" max="7" width="46" customWidth="1"/>
    <col min="8" max="8" width="15" customWidth="1"/>
    <col min="9" max="9" width="32" customWidth="1"/>
  </cols>
  <sheetData>
    <row r="1" spans="1:9" ht="27.95" customHeight="1">
      <c r="A1" s="16" t="s">
        <v>700</v>
      </c>
      <c r="B1" s="16"/>
      <c r="C1" s="16"/>
      <c r="D1" s="16"/>
      <c r="E1" s="16"/>
      <c r="F1" s="16"/>
      <c r="G1" s="16"/>
      <c r="H1" s="16"/>
      <c r="I1" s="16"/>
    </row>
    <row r="3" spans="1:9" ht="15">
      <c r="A3" s="3" t="s">
        <v>701</v>
      </c>
      <c r="B3" s="3" t="s">
        <v>54</v>
      </c>
      <c r="C3" s="3" t="s">
        <v>55</v>
      </c>
      <c r="D3" s="3" t="s">
        <v>57</v>
      </c>
      <c r="E3" s="3" t="s">
        <v>531</v>
      </c>
      <c r="F3" s="3" t="s">
        <v>702</v>
      </c>
      <c r="G3" s="3" t="s">
        <v>637</v>
      </c>
      <c r="H3" s="3" t="s">
        <v>703</v>
      </c>
      <c r="I3" s="3" t="s">
        <v>704</v>
      </c>
    </row>
    <row r="4" spans="1:9">
      <c r="A4" s="5">
        <v>46142</v>
      </c>
      <c r="B4" s="4" t="s">
        <v>61</v>
      </c>
      <c r="C4" s="4" t="s">
        <v>62</v>
      </c>
      <c r="D4" s="4" t="s">
        <v>64</v>
      </c>
      <c r="E4" s="4" t="s">
        <v>63</v>
      </c>
      <c r="F4" s="4" t="s">
        <v>705</v>
      </c>
      <c r="G4" s="4" t="s">
        <v>706</v>
      </c>
      <c r="H4" s="6">
        <v>371250</v>
      </c>
      <c r="I4" s="4"/>
    </row>
    <row r="5" spans="1:9">
      <c r="A5" s="5">
        <v>46173</v>
      </c>
      <c r="B5" s="4" t="s">
        <v>61</v>
      </c>
      <c r="C5" s="4" t="s">
        <v>62</v>
      </c>
      <c r="D5" s="4" t="s">
        <v>64</v>
      </c>
      <c r="E5" s="4" t="s">
        <v>63</v>
      </c>
      <c r="F5" s="4" t="s">
        <v>707</v>
      </c>
      <c r="G5" s="4" t="s">
        <v>708</v>
      </c>
      <c r="H5" s="6">
        <v>396000</v>
      </c>
      <c r="I5" s="4"/>
    </row>
    <row r="6" spans="1:9">
      <c r="A6" s="5">
        <v>46204</v>
      </c>
      <c r="B6" s="4" t="s">
        <v>61</v>
      </c>
      <c r="C6" s="4" t="s">
        <v>62</v>
      </c>
      <c r="D6" s="4" t="s">
        <v>64</v>
      </c>
      <c r="E6" s="4" t="s">
        <v>63</v>
      </c>
      <c r="F6" s="4" t="s">
        <v>709</v>
      </c>
      <c r="G6" s="4" t="s">
        <v>710</v>
      </c>
      <c r="H6" s="6">
        <v>420750</v>
      </c>
      <c r="I6" s="4"/>
    </row>
    <row r="7" spans="1:9">
      <c r="A7" s="5">
        <v>46235</v>
      </c>
      <c r="B7" s="4" t="s">
        <v>61</v>
      </c>
      <c r="C7" s="4" t="s">
        <v>62</v>
      </c>
      <c r="D7" s="4" t="s">
        <v>64</v>
      </c>
      <c r="E7" s="4" t="s">
        <v>63</v>
      </c>
      <c r="F7" s="4" t="s">
        <v>711</v>
      </c>
      <c r="G7" s="4" t="s">
        <v>712</v>
      </c>
      <c r="H7" s="6">
        <v>462000</v>
      </c>
      <c r="I7" s="4"/>
    </row>
    <row r="8" spans="1:9">
      <c r="A8" s="5">
        <v>46142</v>
      </c>
      <c r="B8" s="4" t="s">
        <v>71</v>
      </c>
      <c r="C8" s="4" t="s">
        <v>62</v>
      </c>
      <c r="D8" s="4" t="s">
        <v>72</v>
      </c>
      <c r="E8" s="4" t="s">
        <v>68</v>
      </c>
      <c r="F8" s="4" t="s">
        <v>713</v>
      </c>
      <c r="G8" s="4" t="s">
        <v>714</v>
      </c>
      <c r="H8" s="6">
        <v>25500</v>
      </c>
      <c r="I8" s="4"/>
    </row>
    <row r="9" spans="1:9">
      <c r="A9" s="5">
        <v>46173</v>
      </c>
      <c r="B9" s="4" t="s">
        <v>71</v>
      </c>
      <c r="C9" s="4" t="s">
        <v>62</v>
      </c>
      <c r="D9" s="4" t="s">
        <v>72</v>
      </c>
      <c r="E9" s="4" t="s">
        <v>68</v>
      </c>
      <c r="F9" s="4" t="s">
        <v>715</v>
      </c>
      <c r="G9" s="4" t="s">
        <v>716</v>
      </c>
      <c r="H9" s="6">
        <v>27200</v>
      </c>
      <c r="I9" s="4"/>
    </row>
    <row r="10" spans="1:9">
      <c r="A10" s="5">
        <v>46204</v>
      </c>
      <c r="B10" s="4" t="s">
        <v>71</v>
      </c>
      <c r="C10" s="4" t="s">
        <v>62</v>
      </c>
      <c r="D10" s="4" t="s">
        <v>72</v>
      </c>
      <c r="E10" s="4" t="s">
        <v>68</v>
      </c>
      <c r="F10" s="4" t="s">
        <v>717</v>
      </c>
      <c r="G10" s="4" t="s">
        <v>718</v>
      </c>
      <c r="H10" s="6">
        <v>32300</v>
      </c>
      <c r="I10" s="4"/>
    </row>
    <row r="11" spans="1:9">
      <c r="A11" s="5">
        <v>46142</v>
      </c>
      <c r="B11" s="4" t="s">
        <v>73</v>
      </c>
      <c r="C11" s="4" t="s">
        <v>62</v>
      </c>
      <c r="D11" s="4" t="s">
        <v>75</v>
      </c>
      <c r="E11" s="4" t="s">
        <v>74</v>
      </c>
      <c r="F11" s="4" t="s">
        <v>719</v>
      </c>
      <c r="G11" s="4" t="s">
        <v>720</v>
      </c>
      <c r="H11" s="6">
        <v>9900</v>
      </c>
      <c r="I11" s="4"/>
    </row>
    <row r="12" spans="1:9">
      <c r="A12" s="5">
        <v>46173</v>
      </c>
      <c r="B12" s="4" t="s">
        <v>73</v>
      </c>
      <c r="C12" s="4" t="s">
        <v>62</v>
      </c>
      <c r="D12" s="4" t="s">
        <v>75</v>
      </c>
      <c r="E12" s="4" t="s">
        <v>74</v>
      </c>
      <c r="F12" s="4" t="s">
        <v>721</v>
      </c>
      <c r="G12" s="4" t="s">
        <v>722</v>
      </c>
      <c r="H12" s="6">
        <v>12100</v>
      </c>
      <c r="I12" s="4"/>
    </row>
    <row r="13" spans="1:9">
      <c r="A13" s="5">
        <v>46142</v>
      </c>
      <c r="B13" s="4" t="s">
        <v>82</v>
      </c>
      <c r="C13" s="4" t="s">
        <v>83</v>
      </c>
      <c r="D13" s="4" t="s">
        <v>84</v>
      </c>
      <c r="E13" s="4" t="s">
        <v>74</v>
      </c>
      <c r="F13" s="4" t="s">
        <v>723</v>
      </c>
      <c r="G13" s="4" t="s">
        <v>724</v>
      </c>
      <c r="H13" s="6">
        <v>15750</v>
      </c>
      <c r="I13" s="4"/>
    </row>
    <row r="14" spans="1:9">
      <c r="A14" s="5">
        <v>46173</v>
      </c>
      <c r="B14" s="4" t="s">
        <v>82</v>
      </c>
      <c r="C14" s="4" t="s">
        <v>83</v>
      </c>
      <c r="D14" s="4" t="s">
        <v>84</v>
      </c>
      <c r="E14" s="4" t="s">
        <v>74</v>
      </c>
      <c r="F14" s="4" t="s">
        <v>725</v>
      </c>
      <c r="G14" s="4" t="s">
        <v>726</v>
      </c>
      <c r="H14" s="6">
        <v>19250</v>
      </c>
      <c r="I14" s="4"/>
    </row>
    <row r="15" spans="1:9">
      <c r="A15" s="5">
        <v>46142</v>
      </c>
      <c r="B15" s="4" t="s">
        <v>85</v>
      </c>
      <c r="C15" s="4" t="s">
        <v>83</v>
      </c>
      <c r="D15" s="4" t="s">
        <v>86</v>
      </c>
      <c r="E15" s="4" t="s">
        <v>74</v>
      </c>
      <c r="F15" s="4" t="s">
        <v>727</v>
      </c>
      <c r="G15" s="4" t="s">
        <v>728</v>
      </c>
      <c r="H15" s="6">
        <v>11250</v>
      </c>
      <c r="I15" s="4"/>
    </row>
    <row r="16" spans="1:9">
      <c r="A16" s="5">
        <v>46173</v>
      </c>
      <c r="B16" s="4" t="s">
        <v>85</v>
      </c>
      <c r="C16" s="4" t="s">
        <v>83</v>
      </c>
      <c r="D16" s="4" t="s">
        <v>86</v>
      </c>
      <c r="E16" s="4" t="s">
        <v>74</v>
      </c>
      <c r="F16" s="4" t="s">
        <v>729</v>
      </c>
      <c r="G16" s="4" t="s">
        <v>730</v>
      </c>
      <c r="H16" s="6">
        <v>13750</v>
      </c>
      <c r="I16" s="4"/>
    </row>
    <row r="17" spans="1:9">
      <c r="A17" s="5">
        <v>46142</v>
      </c>
      <c r="B17" s="4" t="s">
        <v>87</v>
      </c>
      <c r="C17" s="4" t="s">
        <v>83</v>
      </c>
      <c r="D17" s="4" t="s">
        <v>88</v>
      </c>
      <c r="E17" s="4" t="s">
        <v>74</v>
      </c>
      <c r="F17" s="4" t="s">
        <v>731</v>
      </c>
      <c r="G17" s="4" t="s">
        <v>732</v>
      </c>
      <c r="H17" s="6">
        <v>6750</v>
      </c>
      <c r="I17" s="4"/>
    </row>
    <row r="18" spans="1:9">
      <c r="A18" s="5">
        <v>46173</v>
      </c>
      <c r="B18" s="4" t="s">
        <v>87</v>
      </c>
      <c r="C18" s="4" t="s">
        <v>83</v>
      </c>
      <c r="D18" s="4" t="s">
        <v>88</v>
      </c>
      <c r="E18" s="4" t="s">
        <v>74</v>
      </c>
      <c r="F18" s="4" t="s">
        <v>733</v>
      </c>
      <c r="G18" s="4" t="s">
        <v>734</v>
      </c>
      <c r="H18" s="6">
        <v>8250</v>
      </c>
      <c r="I18" s="4"/>
    </row>
    <row r="19" spans="1:9">
      <c r="A19" s="5">
        <v>46142</v>
      </c>
      <c r="B19" s="4" t="s">
        <v>91</v>
      </c>
      <c r="C19" s="4" t="s">
        <v>83</v>
      </c>
      <c r="D19" s="4" t="s">
        <v>92</v>
      </c>
      <c r="E19" s="4" t="s">
        <v>74</v>
      </c>
      <c r="F19" s="4" t="s">
        <v>735</v>
      </c>
      <c r="G19" s="4" t="s">
        <v>736</v>
      </c>
      <c r="H19" s="6">
        <v>12600</v>
      </c>
      <c r="I19" s="4"/>
    </row>
    <row r="20" spans="1:9">
      <c r="A20" s="5">
        <v>46173</v>
      </c>
      <c r="B20" s="4" t="s">
        <v>91</v>
      </c>
      <c r="C20" s="4" t="s">
        <v>83</v>
      </c>
      <c r="D20" s="4" t="s">
        <v>92</v>
      </c>
      <c r="E20" s="4" t="s">
        <v>74</v>
      </c>
      <c r="F20" s="4" t="s">
        <v>737</v>
      </c>
      <c r="G20" s="4" t="s">
        <v>738</v>
      </c>
      <c r="H20" s="6">
        <v>15400</v>
      </c>
      <c r="I20" s="4"/>
    </row>
    <row r="21" spans="1:9">
      <c r="A21" s="5">
        <v>46142</v>
      </c>
      <c r="B21" s="4" t="s">
        <v>93</v>
      </c>
      <c r="C21" s="4" t="s">
        <v>83</v>
      </c>
      <c r="D21" s="4" t="s">
        <v>94</v>
      </c>
      <c r="E21" s="4" t="s">
        <v>74</v>
      </c>
      <c r="F21" s="4" t="s">
        <v>739</v>
      </c>
      <c r="G21" s="4" t="s">
        <v>740</v>
      </c>
      <c r="H21" s="6">
        <v>11250</v>
      </c>
      <c r="I21" s="4"/>
    </row>
    <row r="22" spans="1:9">
      <c r="A22" s="5">
        <v>46173</v>
      </c>
      <c r="B22" s="4" t="s">
        <v>93</v>
      </c>
      <c r="C22" s="4" t="s">
        <v>83</v>
      </c>
      <c r="D22" s="4" t="s">
        <v>94</v>
      </c>
      <c r="E22" s="4" t="s">
        <v>74</v>
      </c>
      <c r="F22" s="4" t="s">
        <v>741</v>
      </c>
      <c r="G22" s="4" t="s">
        <v>742</v>
      </c>
      <c r="H22" s="6">
        <v>13750</v>
      </c>
      <c r="I22" s="4"/>
    </row>
    <row r="23" spans="1:9">
      <c r="A23" s="5">
        <v>46142</v>
      </c>
      <c r="B23" s="4" t="s">
        <v>95</v>
      </c>
      <c r="C23" s="4" t="s">
        <v>83</v>
      </c>
      <c r="D23" s="4" t="s">
        <v>96</v>
      </c>
      <c r="E23" s="4" t="s">
        <v>74</v>
      </c>
      <c r="F23" s="4" t="s">
        <v>743</v>
      </c>
      <c r="G23" s="4" t="s">
        <v>744</v>
      </c>
      <c r="H23" s="6">
        <v>18900</v>
      </c>
      <c r="I23" s="4"/>
    </row>
    <row r="24" spans="1:9">
      <c r="A24" s="5">
        <v>46173</v>
      </c>
      <c r="B24" s="4" t="s">
        <v>95</v>
      </c>
      <c r="C24" s="4" t="s">
        <v>83</v>
      </c>
      <c r="D24" s="4" t="s">
        <v>96</v>
      </c>
      <c r="E24" s="4" t="s">
        <v>74</v>
      </c>
      <c r="F24" s="4" t="s">
        <v>745</v>
      </c>
      <c r="G24" s="4" t="s">
        <v>746</v>
      </c>
      <c r="H24" s="6">
        <v>23100</v>
      </c>
      <c r="I24" s="4"/>
    </row>
    <row r="25" spans="1:9">
      <c r="A25" s="5">
        <v>46142</v>
      </c>
      <c r="B25" s="4" t="s">
        <v>105</v>
      </c>
      <c r="C25" s="4" t="s">
        <v>83</v>
      </c>
      <c r="D25" s="4" t="s">
        <v>106</v>
      </c>
      <c r="E25" s="4" t="s">
        <v>74</v>
      </c>
      <c r="F25" s="4" t="s">
        <v>747</v>
      </c>
      <c r="G25" s="4" t="s">
        <v>748</v>
      </c>
      <c r="H25" s="6">
        <v>8000</v>
      </c>
      <c r="I25" s="4"/>
    </row>
    <row r="26" spans="1:9">
      <c r="A26" s="5">
        <v>46142</v>
      </c>
      <c r="B26" s="4" t="s">
        <v>107</v>
      </c>
      <c r="C26" s="4" t="s">
        <v>83</v>
      </c>
      <c r="D26" s="4" t="s">
        <v>108</v>
      </c>
      <c r="E26" s="4" t="s">
        <v>74</v>
      </c>
      <c r="F26" s="4" t="s">
        <v>749</v>
      </c>
      <c r="G26" s="4" t="s">
        <v>750</v>
      </c>
      <c r="H26" s="6">
        <v>6000</v>
      </c>
      <c r="I26" s="4"/>
    </row>
    <row r="27" spans="1:9">
      <c r="A27" s="5">
        <v>46142</v>
      </c>
      <c r="B27" s="4" t="s">
        <v>126</v>
      </c>
      <c r="C27" s="4" t="s">
        <v>83</v>
      </c>
      <c r="D27" s="4" t="s">
        <v>127</v>
      </c>
      <c r="E27" s="4" t="s">
        <v>74</v>
      </c>
      <c r="F27" s="4" t="s">
        <v>751</v>
      </c>
      <c r="G27" s="4" t="s">
        <v>752</v>
      </c>
      <c r="H27" s="6">
        <v>11700</v>
      </c>
      <c r="I27" s="4"/>
    </row>
    <row r="28" spans="1:9">
      <c r="A28" s="5">
        <v>46173</v>
      </c>
      <c r="B28" s="4" t="s">
        <v>126</v>
      </c>
      <c r="C28" s="4" t="s">
        <v>83</v>
      </c>
      <c r="D28" s="4" t="s">
        <v>127</v>
      </c>
      <c r="E28" s="4" t="s">
        <v>74</v>
      </c>
      <c r="F28" s="4" t="s">
        <v>753</v>
      </c>
      <c r="G28" s="4" t="s">
        <v>754</v>
      </c>
      <c r="H28" s="6">
        <v>14300</v>
      </c>
      <c r="I28" s="4"/>
    </row>
    <row r="29" spans="1:9">
      <c r="A29" s="5">
        <v>46142</v>
      </c>
      <c r="B29" s="4" t="s">
        <v>133</v>
      </c>
      <c r="C29" s="4" t="s">
        <v>134</v>
      </c>
      <c r="D29" s="4" t="s">
        <v>136</v>
      </c>
      <c r="E29" s="4" t="s">
        <v>135</v>
      </c>
      <c r="F29" s="4" t="s">
        <v>755</v>
      </c>
      <c r="G29" s="4" t="s">
        <v>756</v>
      </c>
      <c r="H29" s="6">
        <v>18900</v>
      </c>
      <c r="I29" s="4"/>
    </row>
    <row r="30" spans="1:9">
      <c r="A30" s="5">
        <v>46173</v>
      </c>
      <c r="B30" s="4" t="s">
        <v>133</v>
      </c>
      <c r="C30" s="4" t="s">
        <v>134</v>
      </c>
      <c r="D30" s="4" t="s">
        <v>136</v>
      </c>
      <c r="E30" s="4" t="s">
        <v>135</v>
      </c>
      <c r="F30" s="4" t="s">
        <v>757</v>
      </c>
      <c r="G30" s="4" t="s">
        <v>758</v>
      </c>
      <c r="H30" s="6">
        <v>23100</v>
      </c>
      <c r="I30" s="4"/>
    </row>
    <row r="31" spans="1:9">
      <c r="A31" s="5">
        <v>46142</v>
      </c>
      <c r="B31" s="4" t="s">
        <v>137</v>
      </c>
      <c r="C31" s="4" t="s">
        <v>134</v>
      </c>
      <c r="D31" s="4" t="s">
        <v>138</v>
      </c>
      <c r="E31" s="4" t="s">
        <v>135</v>
      </c>
      <c r="F31" s="4" t="s">
        <v>759</v>
      </c>
      <c r="G31" s="4" t="s">
        <v>760</v>
      </c>
      <c r="H31" s="6">
        <v>10800</v>
      </c>
      <c r="I31" s="4"/>
    </row>
    <row r="32" spans="1:9">
      <c r="A32" s="5">
        <v>46173</v>
      </c>
      <c r="B32" s="4" t="s">
        <v>137</v>
      </c>
      <c r="C32" s="4" t="s">
        <v>134</v>
      </c>
      <c r="D32" s="4" t="s">
        <v>138</v>
      </c>
      <c r="E32" s="4" t="s">
        <v>135</v>
      </c>
      <c r="F32" s="4" t="s">
        <v>761</v>
      </c>
      <c r="G32" s="4" t="s">
        <v>762</v>
      </c>
      <c r="H32" s="6">
        <v>13200</v>
      </c>
      <c r="I32" s="4"/>
    </row>
    <row r="33" spans="1:9">
      <c r="A33" s="5">
        <v>46142</v>
      </c>
      <c r="B33" s="4" t="s">
        <v>149</v>
      </c>
      <c r="C33" s="4" t="s">
        <v>134</v>
      </c>
      <c r="D33" s="4" t="s">
        <v>151</v>
      </c>
      <c r="E33" s="4" t="s">
        <v>150</v>
      </c>
      <c r="F33" s="4" t="s">
        <v>763</v>
      </c>
      <c r="G33" s="4" t="s">
        <v>764</v>
      </c>
      <c r="H33" s="6">
        <v>12000</v>
      </c>
      <c r="I33" s="4"/>
    </row>
    <row r="34" spans="1:9">
      <c r="A34" s="5">
        <v>46142</v>
      </c>
      <c r="B34" s="4" t="s">
        <v>154</v>
      </c>
      <c r="C34" s="4" t="s">
        <v>134</v>
      </c>
      <c r="D34" s="4" t="s">
        <v>155</v>
      </c>
      <c r="E34" s="4" t="s">
        <v>150</v>
      </c>
      <c r="F34" s="4" t="s">
        <v>765</v>
      </c>
      <c r="G34" s="4" t="s">
        <v>766</v>
      </c>
      <c r="H34" s="6">
        <v>10000</v>
      </c>
      <c r="I34" s="4"/>
    </row>
    <row r="35" spans="1:9">
      <c r="A35" s="5">
        <v>46142</v>
      </c>
      <c r="B35" s="4" t="s">
        <v>161</v>
      </c>
      <c r="C35" s="4" t="s">
        <v>134</v>
      </c>
      <c r="D35" s="4" t="s">
        <v>163</v>
      </c>
      <c r="E35" s="4" t="s">
        <v>162</v>
      </c>
      <c r="F35" s="4" t="s">
        <v>767</v>
      </c>
      <c r="G35" s="4" t="s">
        <v>768</v>
      </c>
      <c r="H35" s="6">
        <v>14000</v>
      </c>
      <c r="I35" s="4"/>
    </row>
    <row r="36" spans="1:9">
      <c r="A36" s="5">
        <v>46142</v>
      </c>
      <c r="B36" s="4" t="s">
        <v>166</v>
      </c>
      <c r="C36" s="4" t="s">
        <v>134</v>
      </c>
      <c r="D36" s="4" t="s">
        <v>167</v>
      </c>
      <c r="E36" s="4" t="s">
        <v>162</v>
      </c>
      <c r="F36" s="4" t="s">
        <v>769</v>
      </c>
      <c r="G36" s="4" t="s">
        <v>770</v>
      </c>
      <c r="H36" s="6">
        <v>10000</v>
      </c>
      <c r="I36" s="4"/>
    </row>
    <row r="37" spans="1:9">
      <c r="A37" s="5">
        <v>46142</v>
      </c>
      <c r="B37" s="4" t="s">
        <v>174</v>
      </c>
      <c r="C37" s="4" t="s">
        <v>134</v>
      </c>
      <c r="D37" s="4" t="s">
        <v>176</v>
      </c>
      <c r="E37" s="4" t="s">
        <v>175</v>
      </c>
      <c r="F37" s="4" t="s">
        <v>771</v>
      </c>
      <c r="G37" s="4" t="s">
        <v>772</v>
      </c>
      <c r="H37" s="6">
        <v>9000</v>
      </c>
      <c r="I37" s="4"/>
    </row>
    <row r="38" spans="1:9">
      <c r="A38" s="5">
        <v>46142</v>
      </c>
      <c r="B38" s="4" t="s">
        <v>179</v>
      </c>
      <c r="C38" s="4" t="s">
        <v>134</v>
      </c>
      <c r="D38" s="4" t="s">
        <v>181</v>
      </c>
      <c r="E38" s="4" t="s">
        <v>180</v>
      </c>
      <c r="F38" s="4" t="s">
        <v>773</v>
      </c>
      <c r="G38" s="4" t="s">
        <v>774</v>
      </c>
      <c r="H38" s="6">
        <v>7000</v>
      </c>
      <c r="I38" s="4"/>
    </row>
    <row r="39" spans="1:9">
      <c r="A39" s="5">
        <v>46142</v>
      </c>
      <c r="B39" s="4" t="s">
        <v>182</v>
      </c>
      <c r="C39" s="4" t="s">
        <v>134</v>
      </c>
      <c r="D39" s="4" t="s">
        <v>183</v>
      </c>
      <c r="E39" s="4" t="s">
        <v>180</v>
      </c>
      <c r="F39" s="4" t="s">
        <v>775</v>
      </c>
      <c r="G39" s="4" t="s">
        <v>776</v>
      </c>
      <c r="H39" s="6">
        <v>2500</v>
      </c>
      <c r="I39" s="4"/>
    </row>
    <row r="40" spans="1:9">
      <c r="A40" s="5">
        <v>46142</v>
      </c>
      <c r="B40" s="4" t="s">
        <v>194</v>
      </c>
      <c r="C40" s="4" t="s">
        <v>134</v>
      </c>
      <c r="D40" s="4" t="s">
        <v>195</v>
      </c>
      <c r="E40" s="4" t="s">
        <v>162</v>
      </c>
      <c r="F40" s="4" t="s">
        <v>777</v>
      </c>
      <c r="G40" s="4" t="s">
        <v>778</v>
      </c>
      <c r="H40" s="6">
        <v>4000</v>
      </c>
      <c r="I40" s="4"/>
    </row>
    <row r="41" spans="1:9">
      <c r="A41" s="5">
        <v>46142</v>
      </c>
      <c r="B41" s="4" t="s">
        <v>208</v>
      </c>
      <c r="C41" s="4" t="s">
        <v>134</v>
      </c>
      <c r="D41" s="4" t="s">
        <v>209</v>
      </c>
      <c r="E41" s="4" t="s">
        <v>162</v>
      </c>
      <c r="F41" s="4" t="s">
        <v>779</v>
      </c>
      <c r="G41" s="4" t="s">
        <v>780</v>
      </c>
      <c r="H41" s="6">
        <v>5000</v>
      </c>
      <c r="I41" s="4"/>
    </row>
    <row r="42" spans="1:9">
      <c r="A42" s="5">
        <v>46142</v>
      </c>
      <c r="B42" s="4" t="s">
        <v>215</v>
      </c>
      <c r="C42" s="4" t="s">
        <v>216</v>
      </c>
      <c r="D42" s="4" t="s">
        <v>217</v>
      </c>
      <c r="E42" s="4" t="s">
        <v>159</v>
      </c>
      <c r="F42" s="4" t="s">
        <v>781</v>
      </c>
      <c r="G42" s="4" t="s">
        <v>782</v>
      </c>
      <c r="H42" s="6">
        <v>25200</v>
      </c>
      <c r="I42" s="4"/>
    </row>
    <row r="43" spans="1:9">
      <c r="A43" s="5">
        <v>46173</v>
      </c>
      <c r="B43" s="4" t="s">
        <v>215</v>
      </c>
      <c r="C43" s="4" t="s">
        <v>216</v>
      </c>
      <c r="D43" s="4" t="s">
        <v>217</v>
      </c>
      <c r="E43" s="4" t="s">
        <v>159</v>
      </c>
      <c r="F43" s="4" t="s">
        <v>783</v>
      </c>
      <c r="G43" s="4" t="s">
        <v>784</v>
      </c>
      <c r="H43" s="6">
        <v>26880</v>
      </c>
      <c r="I43" s="4"/>
    </row>
    <row r="44" spans="1:9">
      <c r="A44" s="5">
        <v>46204</v>
      </c>
      <c r="B44" s="4" t="s">
        <v>215</v>
      </c>
      <c r="C44" s="4" t="s">
        <v>216</v>
      </c>
      <c r="D44" s="4" t="s">
        <v>217</v>
      </c>
      <c r="E44" s="4" t="s">
        <v>159</v>
      </c>
      <c r="F44" s="4" t="s">
        <v>785</v>
      </c>
      <c r="G44" s="4" t="s">
        <v>786</v>
      </c>
      <c r="H44" s="6">
        <v>28560</v>
      </c>
      <c r="I44" s="4"/>
    </row>
    <row r="45" spans="1:9">
      <c r="A45" s="5">
        <v>46235</v>
      </c>
      <c r="B45" s="4" t="s">
        <v>215</v>
      </c>
      <c r="C45" s="4" t="s">
        <v>216</v>
      </c>
      <c r="D45" s="4" t="s">
        <v>217</v>
      </c>
      <c r="E45" s="4" t="s">
        <v>159</v>
      </c>
      <c r="F45" s="4" t="s">
        <v>787</v>
      </c>
      <c r="G45" s="4" t="s">
        <v>788</v>
      </c>
      <c r="H45" s="6">
        <v>31360</v>
      </c>
      <c r="I45" s="4"/>
    </row>
    <row r="46" spans="1:9">
      <c r="A46" s="5">
        <v>46142</v>
      </c>
      <c r="B46" s="4" t="s">
        <v>218</v>
      </c>
      <c r="C46" s="4" t="s">
        <v>216</v>
      </c>
      <c r="D46" s="4" t="s">
        <v>219</v>
      </c>
      <c r="E46" s="4" t="s">
        <v>159</v>
      </c>
      <c r="F46" s="4" t="s">
        <v>789</v>
      </c>
      <c r="G46" s="4" t="s">
        <v>790</v>
      </c>
      <c r="H46" s="6">
        <v>8100</v>
      </c>
      <c r="I46" s="4"/>
    </row>
    <row r="47" spans="1:9">
      <c r="A47" s="5">
        <v>46173</v>
      </c>
      <c r="B47" s="4" t="s">
        <v>218</v>
      </c>
      <c r="C47" s="4" t="s">
        <v>216</v>
      </c>
      <c r="D47" s="4" t="s">
        <v>219</v>
      </c>
      <c r="E47" s="4" t="s">
        <v>159</v>
      </c>
      <c r="F47" s="4" t="s">
        <v>791</v>
      </c>
      <c r="G47" s="4" t="s">
        <v>792</v>
      </c>
      <c r="H47" s="6">
        <v>9900</v>
      </c>
      <c r="I47" s="4"/>
    </row>
    <row r="48" spans="1:9">
      <c r="A48" s="5">
        <v>46142</v>
      </c>
      <c r="B48" s="4" t="s">
        <v>220</v>
      </c>
      <c r="C48" s="4" t="s">
        <v>216</v>
      </c>
      <c r="D48" s="4" t="s">
        <v>221</v>
      </c>
      <c r="E48" s="4" t="s">
        <v>159</v>
      </c>
      <c r="F48" s="4" t="s">
        <v>793</v>
      </c>
      <c r="G48" s="4" t="s">
        <v>794</v>
      </c>
      <c r="H48" s="6">
        <v>8100</v>
      </c>
      <c r="I48" s="4"/>
    </row>
    <row r="49" spans="1:9">
      <c r="A49" s="5">
        <v>46173</v>
      </c>
      <c r="B49" s="4" t="s">
        <v>220</v>
      </c>
      <c r="C49" s="4" t="s">
        <v>216</v>
      </c>
      <c r="D49" s="4" t="s">
        <v>221</v>
      </c>
      <c r="E49" s="4" t="s">
        <v>159</v>
      </c>
      <c r="F49" s="4" t="s">
        <v>795</v>
      </c>
      <c r="G49" s="4" t="s">
        <v>796</v>
      </c>
      <c r="H49" s="6">
        <v>9900</v>
      </c>
      <c r="I49" s="4"/>
    </row>
    <row r="50" spans="1:9">
      <c r="A50" s="5">
        <v>46142</v>
      </c>
      <c r="B50" s="4" t="s">
        <v>230</v>
      </c>
      <c r="C50" s="4" t="s">
        <v>216</v>
      </c>
      <c r="D50" s="4" t="s">
        <v>231</v>
      </c>
      <c r="E50" s="4" t="s">
        <v>159</v>
      </c>
      <c r="F50" s="4" t="s">
        <v>797</v>
      </c>
      <c r="G50" s="4" t="s">
        <v>798</v>
      </c>
      <c r="H50" s="6">
        <v>9900</v>
      </c>
      <c r="I50" s="4"/>
    </row>
    <row r="51" spans="1:9">
      <c r="A51" s="5">
        <v>46173</v>
      </c>
      <c r="B51" s="4" t="s">
        <v>230</v>
      </c>
      <c r="C51" s="4" t="s">
        <v>216</v>
      </c>
      <c r="D51" s="4" t="s">
        <v>231</v>
      </c>
      <c r="E51" s="4" t="s">
        <v>159</v>
      </c>
      <c r="F51" s="4" t="s">
        <v>799</v>
      </c>
      <c r="G51" s="4" t="s">
        <v>800</v>
      </c>
      <c r="H51" s="6">
        <v>12100</v>
      </c>
      <c r="I51" s="4"/>
    </row>
    <row r="52" spans="1:9">
      <c r="A52" s="5">
        <v>46142</v>
      </c>
      <c r="B52" s="4" t="s">
        <v>234</v>
      </c>
      <c r="C52" s="4" t="s">
        <v>216</v>
      </c>
      <c r="D52" s="4" t="s">
        <v>235</v>
      </c>
      <c r="E52" s="4" t="s">
        <v>159</v>
      </c>
      <c r="F52" s="4" t="s">
        <v>801</v>
      </c>
      <c r="G52" s="4" t="s">
        <v>802</v>
      </c>
      <c r="H52" s="6">
        <v>14000</v>
      </c>
      <c r="I52" s="4"/>
    </row>
    <row r="53" spans="1:9">
      <c r="A53" s="5">
        <v>46142</v>
      </c>
      <c r="B53" s="4" t="s">
        <v>252</v>
      </c>
      <c r="C53" s="4" t="s">
        <v>253</v>
      </c>
      <c r="D53" s="4" t="s">
        <v>255</v>
      </c>
      <c r="E53" s="4" t="s">
        <v>254</v>
      </c>
      <c r="F53" s="4" t="s">
        <v>803</v>
      </c>
      <c r="G53" s="4" t="s">
        <v>804</v>
      </c>
      <c r="H53" s="6">
        <v>15600</v>
      </c>
      <c r="I53" s="4"/>
    </row>
    <row r="54" spans="1:9">
      <c r="A54" s="5">
        <v>46173</v>
      </c>
      <c r="B54" s="4" t="s">
        <v>252</v>
      </c>
      <c r="C54" s="4" t="s">
        <v>253</v>
      </c>
      <c r="D54" s="4" t="s">
        <v>255</v>
      </c>
      <c r="E54" s="4" t="s">
        <v>254</v>
      </c>
      <c r="F54" s="4" t="s">
        <v>805</v>
      </c>
      <c r="G54" s="4" t="s">
        <v>806</v>
      </c>
      <c r="H54" s="6">
        <v>16640</v>
      </c>
      <c r="I54" s="4"/>
    </row>
    <row r="55" spans="1:9">
      <c r="A55" s="5">
        <v>46204</v>
      </c>
      <c r="B55" s="4" t="s">
        <v>252</v>
      </c>
      <c r="C55" s="4" t="s">
        <v>253</v>
      </c>
      <c r="D55" s="4" t="s">
        <v>255</v>
      </c>
      <c r="E55" s="4" t="s">
        <v>254</v>
      </c>
      <c r="F55" s="4" t="s">
        <v>807</v>
      </c>
      <c r="G55" s="4" t="s">
        <v>808</v>
      </c>
      <c r="H55" s="6">
        <v>19760</v>
      </c>
      <c r="I55" s="4"/>
    </row>
    <row r="56" spans="1:9">
      <c r="A56" s="5">
        <v>46142</v>
      </c>
      <c r="B56" s="4" t="s">
        <v>256</v>
      </c>
      <c r="C56" s="4" t="s">
        <v>253</v>
      </c>
      <c r="D56" s="4" t="s">
        <v>257</v>
      </c>
      <c r="E56" s="4" t="s">
        <v>254</v>
      </c>
      <c r="F56" s="4" t="s">
        <v>809</v>
      </c>
      <c r="G56" s="4" t="s">
        <v>810</v>
      </c>
      <c r="H56" s="6">
        <v>19800</v>
      </c>
      <c r="I56" s="4"/>
    </row>
    <row r="57" spans="1:9">
      <c r="A57" s="5">
        <v>46173</v>
      </c>
      <c r="B57" s="4" t="s">
        <v>256</v>
      </c>
      <c r="C57" s="4" t="s">
        <v>253</v>
      </c>
      <c r="D57" s="4" t="s">
        <v>257</v>
      </c>
      <c r="E57" s="4" t="s">
        <v>254</v>
      </c>
      <c r="F57" s="4" t="s">
        <v>811</v>
      </c>
      <c r="G57" s="4" t="s">
        <v>812</v>
      </c>
      <c r="H57" s="6">
        <v>24200</v>
      </c>
      <c r="I57" s="4"/>
    </row>
    <row r="58" spans="1:9">
      <c r="A58" s="5">
        <v>46142</v>
      </c>
      <c r="B58" s="4" t="s">
        <v>258</v>
      </c>
      <c r="C58" s="4" t="s">
        <v>253</v>
      </c>
      <c r="D58" s="4" t="s">
        <v>259</v>
      </c>
      <c r="E58" s="4" t="s">
        <v>254</v>
      </c>
      <c r="F58" s="4" t="s">
        <v>813</v>
      </c>
      <c r="G58" s="4" t="s">
        <v>814</v>
      </c>
      <c r="H58" s="6">
        <v>28800</v>
      </c>
      <c r="I58" s="4"/>
    </row>
    <row r="59" spans="1:9">
      <c r="A59" s="5">
        <v>46173</v>
      </c>
      <c r="B59" s="4" t="s">
        <v>258</v>
      </c>
      <c r="C59" s="4" t="s">
        <v>253</v>
      </c>
      <c r="D59" s="4" t="s">
        <v>259</v>
      </c>
      <c r="E59" s="4" t="s">
        <v>254</v>
      </c>
      <c r="F59" s="4" t="s">
        <v>815</v>
      </c>
      <c r="G59" s="4" t="s">
        <v>816</v>
      </c>
      <c r="H59" s="6">
        <v>30720</v>
      </c>
      <c r="I59" s="4"/>
    </row>
    <row r="60" spans="1:9">
      <c r="A60" s="5">
        <v>46204</v>
      </c>
      <c r="B60" s="4" t="s">
        <v>258</v>
      </c>
      <c r="C60" s="4" t="s">
        <v>253</v>
      </c>
      <c r="D60" s="4" t="s">
        <v>259</v>
      </c>
      <c r="E60" s="4" t="s">
        <v>254</v>
      </c>
      <c r="F60" s="4" t="s">
        <v>817</v>
      </c>
      <c r="G60" s="4" t="s">
        <v>818</v>
      </c>
      <c r="H60" s="6">
        <v>36480</v>
      </c>
      <c r="I60" s="4"/>
    </row>
    <row r="61" spans="1:9">
      <c r="A61" s="5">
        <v>46142</v>
      </c>
      <c r="B61" s="4" t="s">
        <v>262</v>
      </c>
      <c r="C61" s="4" t="s">
        <v>253</v>
      </c>
      <c r="D61" s="4" t="s">
        <v>263</v>
      </c>
      <c r="E61" s="4" t="s">
        <v>254</v>
      </c>
      <c r="F61" s="4" t="s">
        <v>819</v>
      </c>
      <c r="G61" s="4" t="s">
        <v>820</v>
      </c>
      <c r="H61" s="6">
        <v>10800</v>
      </c>
      <c r="I61" s="4"/>
    </row>
    <row r="62" spans="1:9">
      <c r="A62" s="5">
        <v>46173</v>
      </c>
      <c r="B62" s="4" t="s">
        <v>262</v>
      </c>
      <c r="C62" s="4" t="s">
        <v>253</v>
      </c>
      <c r="D62" s="4" t="s">
        <v>263</v>
      </c>
      <c r="E62" s="4" t="s">
        <v>254</v>
      </c>
      <c r="F62" s="4" t="s">
        <v>821</v>
      </c>
      <c r="G62" s="4" t="s">
        <v>822</v>
      </c>
      <c r="H62" s="6">
        <v>13200</v>
      </c>
      <c r="I62" s="4"/>
    </row>
    <row r="63" spans="1:9">
      <c r="A63" s="5">
        <v>46142</v>
      </c>
      <c r="B63" s="4" t="s">
        <v>274</v>
      </c>
      <c r="C63" s="4" t="s">
        <v>253</v>
      </c>
      <c r="D63" s="4" t="s">
        <v>275</v>
      </c>
      <c r="E63" s="4" t="s">
        <v>254</v>
      </c>
      <c r="F63" s="4" t="s">
        <v>823</v>
      </c>
      <c r="G63" s="4" t="s">
        <v>824</v>
      </c>
      <c r="H63" s="6">
        <v>6750</v>
      </c>
      <c r="I63" s="4"/>
    </row>
    <row r="64" spans="1:9">
      <c r="A64" s="5">
        <v>46173</v>
      </c>
      <c r="B64" s="4" t="s">
        <v>274</v>
      </c>
      <c r="C64" s="4" t="s">
        <v>253</v>
      </c>
      <c r="D64" s="4" t="s">
        <v>275</v>
      </c>
      <c r="E64" s="4" t="s">
        <v>254</v>
      </c>
      <c r="F64" s="4" t="s">
        <v>825</v>
      </c>
      <c r="G64" s="4" t="s">
        <v>826</v>
      </c>
      <c r="H64" s="6">
        <v>8250</v>
      </c>
      <c r="I64" s="4"/>
    </row>
    <row r="65" spans="1:9">
      <c r="A65" s="5">
        <v>46142</v>
      </c>
      <c r="B65" s="4" t="s">
        <v>297</v>
      </c>
      <c r="C65" s="4" t="s">
        <v>295</v>
      </c>
      <c r="D65" s="4" t="s">
        <v>298</v>
      </c>
      <c r="E65" s="4" t="s">
        <v>159</v>
      </c>
      <c r="F65" s="4" t="s">
        <v>827</v>
      </c>
      <c r="G65" s="4" t="s">
        <v>828</v>
      </c>
      <c r="H65" s="6">
        <v>13500</v>
      </c>
      <c r="I65" s="4"/>
    </row>
    <row r="66" spans="1:9">
      <c r="A66" s="5">
        <v>46173</v>
      </c>
      <c r="B66" s="4" t="s">
        <v>297</v>
      </c>
      <c r="C66" s="4" t="s">
        <v>295</v>
      </c>
      <c r="D66" s="4" t="s">
        <v>298</v>
      </c>
      <c r="E66" s="4" t="s">
        <v>159</v>
      </c>
      <c r="F66" s="4" t="s">
        <v>829</v>
      </c>
      <c r="G66" s="4" t="s">
        <v>830</v>
      </c>
      <c r="H66" s="6">
        <v>16500</v>
      </c>
      <c r="I66" s="4"/>
    </row>
    <row r="67" spans="1:9">
      <c r="A67" s="5">
        <v>46142</v>
      </c>
      <c r="B67" s="4" t="s">
        <v>299</v>
      </c>
      <c r="C67" s="4" t="s">
        <v>295</v>
      </c>
      <c r="D67" s="4" t="s">
        <v>300</v>
      </c>
      <c r="E67" s="4" t="s">
        <v>554</v>
      </c>
      <c r="F67" s="4" t="s">
        <v>831</v>
      </c>
      <c r="G67" s="4" t="s">
        <v>832</v>
      </c>
      <c r="H67" s="6">
        <v>26550</v>
      </c>
      <c r="I67" s="4"/>
    </row>
    <row r="68" spans="1:9">
      <c r="A68" s="5">
        <v>46173</v>
      </c>
      <c r="B68" s="4" t="s">
        <v>299</v>
      </c>
      <c r="C68" s="4" t="s">
        <v>295</v>
      </c>
      <c r="D68" s="4" t="s">
        <v>300</v>
      </c>
      <c r="E68" s="4" t="s">
        <v>554</v>
      </c>
      <c r="F68" s="4" t="s">
        <v>833</v>
      </c>
      <c r="G68" s="4" t="s">
        <v>834</v>
      </c>
      <c r="H68" s="6">
        <v>28320</v>
      </c>
      <c r="I68" s="4"/>
    </row>
    <row r="69" spans="1:9">
      <c r="A69" s="5">
        <v>46204</v>
      </c>
      <c r="B69" s="4" t="s">
        <v>299</v>
      </c>
      <c r="C69" s="4" t="s">
        <v>295</v>
      </c>
      <c r="D69" s="4" t="s">
        <v>300</v>
      </c>
      <c r="E69" s="4" t="s">
        <v>554</v>
      </c>
      <c r="F69" s="4" t="s">
        <v>835</v>
      </c>
      <c r="G69" s="4" t="s">
        <v>836</v>
      </c>
      <c r="H69" s="6">
        <v>30090</v>
      </c>
      <c r="I69" s="4"/>
    </row>
    <row r="70" spans="1:9">
      <c r="A70" s="5">
        <v>46235</v>
      </c>
      <c r="B70" s="4" t="s">
        <v>299</v>
      </c>
      <c r="C70" s="4" t="s">
        <v>295</v>
      </c>
      <c r="D70" s="4" t="s">
        <v>300</v>
      </c>
      <c r="E70" s="4" t="s">
        <v>554</v>
      </c>
      <c r="F70" s="4" t="s">
        <v>837</v>
      </c>
      <c r="G70" s="4" t="s">
        <v>838</v>
      </c>
      <c r="H70" s="6">
        <v>33040</v>
      </c>
      <c r="I70" s="4"/>
    </row>
    <row r="71" spans="1:9">
      <c r="A71" s="5">
        <v>46142</v>
      </c>
      <c r="B71" s="4" t="s">
        <v>301</v>
      </c>
      <c r="C71" s="4" t="s">
        <v>295</v>
      </c>
      <c r="D71" s="4" t="s">
        <v>302</v>
      </c>
      <c r="E71" s="4" t="s">
        <v>558</v>
      </c>
      <c r="F71" s="4" t="s">
        <v>839</v>
      </c>
      <c r="G71" s="4" t="s">
        <v>840</v>
      </c>
      <c r="H71" s="6">
        <v>24600</v>
      </c>
      <c r="I71" s="4"/>
    </row>
    <row r="72" spans="1:9">
      <c r="A72" s="5">
        <v>46173</v>
      </c>
      <c r="B72" s="4" t="s">
        <v>301</v>
      </c>
      <c r="C72" s="4" t="s">
        <v>295</v>
      </c>
      <c r="D72" s="4" t="s">
        <v>302</v>
      </c>
      <c r="E72" s="4" t="s">
        <v>558</v>
      </c>
      <c r="F72" s="4" t="s">
        <v>841</v>
      </c>
      <c r="G72" s="4" t="s">
        <v>842</v>
      </c>
      <c r="H72" s="6">
        <v>26240</v>
      </c>
      <c r="I72" s="4"/>
    </row>
    <row r="73" spans="1:9">
      <c r="A73" s="5">
        <v>46204</v>
      </c>
      <c r="B73" s="4" t="s">
        <v>301</v>
      </c>
      <c r="C73" s="4" t="s">
        <v>295</v>
      </c>
      <c r="D73" s="4" t="s">
        <v>302</v>
      </c>
      <c r="E73" s="4" t="s">
        <v>558</v>
      </c>
      <c r="F73" s="4" t="s">
        <v>843</v>
      </c>
      <c r="G73" s="4" t="s">
        <v>844</v>
      </c>
      <c r="H73" s="6">
        <v>31160</v>
      </c>
      <c r="I73" s="4"/>
    </row>
    <row r="74" spans="1:9">
      <c r="A74" s="5">
        <v>46142</v>
      </c>
      <c r="B74" s="4" t="s">
        <v>311</v>
      </c>
      <c r="C74" s="4" t="s">
        <v>295</v>
      </c>
      <c r="D74" s="4" t="s">
        <v>312</v>
      </c>
      <c r="E74" s="4" t="s">
        <v>159</v>
      </c>
      <c r="F74" s="4" t="s">
        <v>845</v>
      </c>
      <c r="G74" s="4" t="s">
        <v>846</v>
      </c>
      <c r="H74" s="6">
        <v>18900</v>
      </c>
      <c r="I74" s="4"/>
    </row>
    <row r="75" spans="1:9">
      <c r="A75" s="5">
        <v>46173</v>
      </c>
      <c r="B75" s="4" t="s">
        <v>311</v>
      </c>
      <c r="C75" s="4" t="s">
        <v>295</v>
      </c>
      <c r="D75" s="4" t="s">
        <v>312</v>
      </c>
      <c r="E75" s="4" t="s">
        <v>159</v>
      </c>
      <c r="F75" s="4" t="s">
        <v>847</v>
      </c>
      <c r="G75" s="4" t="s">
        <v>848</v>
      </c>
      <c r="H75" s="6">
        <v>23100</v>
      </c>
      <c r="I75" s="4"/>
    </row>
    <row r="76" spans="1:9">
      <c r="A76" s="5">
        <v>46142</v>
      </c>
      <c r="B76" s="4" t="s">
        <v>315</v>
      </c>
      <c r="C76" s="4" t="s">
        <v>295</v>
      </c>
      <c r="D76" s="4" t="s">
        <v>316</v>
      </c>
      <c r="E76" s="4" t="s">
        <v>159</v>
      </c>
      <c r="F76" s="4" t="s">
        <v>849</v>
      </c>
      <c r="G76" s="4" t="s">
        <v>850</v>
      </c>
      <c r="H76" s="6">
        <v>20700</v>
      </c>
      <c r="I76" s="4"/>
    </row>
    <row r="77" spans="1:9">
      <c r="A77" s="5">
        <v>46173</v>
      </c>
      <c r="B77" s="4" t="s">
        <v>315</v>
      </c>
      <c r="C77" s="4" t="s">
        <v>295</v>
      </c>
      <c r="D77" s="4" t="s">
        <v>316</v>
      </c>
      <c r="E77" s="4" t="s">
        <v>159</v>
      </c>
      <c r="F77" s="4" t="s">
        <v>851</v>
      </c>
      <c r="G77" s="4" t="s">
        <v>852</v>
      </c>
      <c r="H77" s="6">
        <v>25300</v>
      </c>
      <c r="I77" s="4"/>
    </row>
    <row r="78" spans="1:9">
      <c r="A78" s="5">
        <v>46142</v>
      </c>
      <c r="B78" s="4" t="s">
        <v>321</v>
      </c>
      <c r="C78" s="4" t="s">
        <v>295</v>
      </c>
      <c r="D78" s="4" t="s">
        <v>322</v>
      </c>
      <c r="E78" s="4" t="s">
        <v>569</v>
      </c>
      <c r="F78" s="4" t="s">
        <v>853</v>
      </c>
      <c r="G78" s="4" t="s">
        <v>854</v>
      </c>
      <c r="H78" s="6">
        <v>20400</v>
      </c>
      <c r="I78" s="4"/>
    </row>
    <row r="79" spans="1:9">
      <c r="A79" s="5">
        <v>46173</v>
      </c>
      <c r="B79" s="4" t="s">
        <v>321</v>
      </c>
      <c r="C79" s="4" t="s">
        <v>295</v>
      </c>
      <c r="D79" s="4" t="s">
        <v>322</v>
      </c>
      <c r="E79" s="4" t="s">
        <v>569</v>
      </c>
      <c r="F79" s="4" t="s">
        <v>855</v>
      </c>
      <c r="G79" s="4" t="s">
        <v>856</v>
      </c>
      <c r="H79" s="6">
        <v>21760</v>
      </c>
      <c r="I79" s="4"/>
    </row>
    <row r="80" spans="1:9">
      <c r="A80" s="5">
        <v>46204</v>
      </c>
      <c r="B80" s="4" t="s">
        <v>321</v>
      </c>
      <c r="C80" s="4" t="s">
        <v>295</v>
      </c>
      <c r="D80" s="4" t="s">
        <v>322</v>
      </c>
      <c r="E80" s="4" t="s">
        <v>569</v>
      </c>
      <c r="F80" s="4" t="s">
        <v>857</v>
      </c>
      <c r="G80" s="4" t="s">
        <v>858</v>
      </c>
      <c r="H80" s="6">
        <v>25840</v>
      </c>
      <c r="I80" s="4"/>
    </row>
    <row r="81" spans="1:9">
      <c r="A81" s="5">
        <v>46142</v>
      </c>
      <c r="B81" s="4" t="s">
        <v>323</v>
      </c>
      <c r="C81" s="4" t="s">
        <v>295</v>
      </c>
      <c r="D81" s="4" t="s">
        <v>324</v>
      </c>
      <c r="E81" s="4" t="s">
        <v>573</v>
      </c>
      <c r="F81" s="4" t="s">
        <v>859</v>
      </c>
      <c r="G81" s="4" t="s">
        <v>860</v>
      </c>
      <c r="H81" s="6">
        <v>27600</v>
      </c>
      <c r="I81" s="4"/>
    </row>
    <row r="82" spans="1:9">
      <c r="A82" s="5">
        <v>46173</v>
      </c>
      <c r="B82" s="4" t="s">
        <v>323</v>
      </c>
      <c r="C82" s="4" t="s">
        <v>295</v>
      </c>
      <c r="D82" s="4" t="s">
        <v>324</v>
      </c>
      <c r="E82" s="4" t="s">
        <v>573</v>
      </c>
      <c r="F82" s="4" t="s">
        <v>861</v>
      </c>
      <c r="G82" s="4" t="s">
        <v>862</v>
      </c>
      <c r="H82" s="6">
        <v>29440</v>
      </c>
      <c r="I82" s="4"/>
    </row>
    <row r="83" spans="1:9">
      <c r="A83" s="5">
        <v>46204</v>
      </c>
      <c r="B83" s="4" t="s">
        <v>323</v>
      </c>
      <c r="C83" s="4" t="s">
        <v>295</v>
      </c>
      <c r="D83" s="4" t="s">
        <v>324</v>
      </c>
      <c r="E83" s="4" t="s">
        <v>573</v>
      </c>
      <c r="F83" s="4" t="s">
        <v>863</v>
      </c>
      <c r="G83" s="4" t="s">
        <v>864</v>
      </c>
      <c r="H83" s="6">
        <v>34960</v>
      </c>
      <c r="I83" s="4"/>
    </row>
    <row r="84" spans="1:9">
      <c r="A84" s="5">
        <v>46142</v>
      </c>
      <c r="B84" s="4" t="s">
        <v>325</v>
      </c>
      <c r="C84" s="4" t="s">
        <v>295</v>
      </c>
      <c r="D84" s="4" t="s">
        <v>326</v>
      </c>
      <c r="E84" s="4" t="s">
        <v>577</v>
      </c>
      <c r="F84" s="4" t="s">
        <v>865</v>
      </c>
      <c r="G84" s="4" t="s">
        <v>866</v>
      </c>
      <c r="H84" s="6">
        <v>21600</v>
      </c>
      <c r="I84" s="4"/>
    </row>
    <row r="85" spans="1:9">
      <c r="A85" s="5">
        <v>46173</v>
      </c>
      <c r="B85" s="4" t="s">
        <v>325</v>
      </c>
      <c r="C85" s="4" t="s">
        <v>295</v>
      </c>
      <c r="D85" s="4" t="s">
        <v>326</v>
      </c>
      <c r="E85" s="4" t="s">
        <v>577</v>
      </c>
      <c r="F85" s="4" t="s">
        <v>867</v>
      </c>
      <c r="G85" s="4" t="s">
        <v>868</v>
      </c>
      <c r="H85" s="6">
        <v>23040</v>
      </c>
      <c r="I85" s="4"/>
    </row>
    <row r="86" spans="1:9">
      <c r="A86" s="5">
        <v>46204</v>
      </c>
      <c r="B86" s="4" t="s">
        <v>325</v>
      </c>
      <c r="C86" s="4" t="s">
        <v>295</v>
      </c>
      <c r="D86" s="4" t="s">
        <v>326</v>
      </c>
      <c r="E86" s="4" t="s">
        <v>577</v>
      </c>
      <c r="F86" s="4" t="s">
        <v>869</v>
      </c>
      <c r="G86" s="4" t="s">
        <v>870</v>
      </c>
      <c r="H86" s="6">
        <v>27360</v>
      </c>
      <c r="I86" s="4"/>
    </row>
    <row r="87" spans="1:9">
      <c r="A87" s="5">
        <v>46142</v>
      </c>
      <c r="B87" s="4" t="s">
        <v>327</v>
      </c>
      <c r="C87" s="4" t="s">
        <v>295</v>
      </c>
      <c r="D87" s="4" t="s">
        <v>328</v>
      </c>
      <c r="E87" s="4" t="s">
        <v>159</v>
      </c>
      <c r="F87" s="4" t="s">
        <v>871</v>
      </c>
      <c r="G87" s="4" t="s">
        <v>872</v>
      </c>
      <c r="H87" s="6">
        <v>13500</v>
      </c>
      <c r="I87" s="4"/>
    </row>
    <row r="88" spans="1:9">
      <c r="A88" s="5">
        <v>46173</v>
      </c>
      <c r="B88" s="4" t="s">
        <v>327</v>
      </c>
      <c r="C88" s="4" t="s">
        <v>295</v>
      </c>
      <c r="D88" s="4" t="s">
        <v>328</v>
      </c>
      <c r="E88" s="4" t="s">
        <v>159</v>
      </c>
      <c r="F88" s="4" t="s">
        <v>873</v>
      </c>
      <c r="G88" s="4" t="s">
        <v>874</v>
      </c>
      <c r="H88" s="6">
        <v>16500</v>
      </c>
      <c r="I88" s="4"/>
    </row>
    <row r="89" spans="1:9">
      <c r="A89" s="5">
        <v>46142</v>
      </c>
      <c r="B89" s="4" t="s">
        <v>343</v>
      </c>
      <c r="C89" s="4" t="s">
        <v>295</v>
      </c>
      <c r="D89" s="4" t="s">
        <v>344</v>
      </c>
      <c r="E89" s="4" t="s">
        <v>584</v>
      </c>
      <c r="F89" s="4" t="s">
        <v>875</v>
      </c>
      <c r="G89" s="4" t="s">
        <v>876</v>
      </c>
      <c r="H89" s="6">
        <v>17100</v>
      </c>
      <c r="I89" s="4"/>
    </row>
    <row r="90" spans="1:9">
      <c r="A90" s="5">
        <v>46173</v>
      </c>
      <c r="B90" s="4" t="s">
        <v>343</v>
      </c>
      <c r="C90" s="4" t="s">
        <v>295</v>
      </c>
      <c r="D90" s="4" t="s">
        <v>344</v>
      </c>
      <c r="E90" s="4" t="s">
        <v>584</v>
      </c>
      <c r="F90" s="4" t="s">
        <v>877</v>
      </c>
      <c r="G90" s="4" t="s">
        <v>878</v>
      </c>
      <c r="H90" s="6">
        <v>20900</v>
      </c>
      <c r="I90" s="4"/>
    </row>
    <row r="91" spans="1:9">
      <c r="A91" s="5">
        <v>46142</v>
      </c>
      <c r="B91" s="4" t="s">
        <v>345</v>
      </c>
      <c r="C91" s="4" t="s">
        <v>295</v>
      </c>
      <c r="D91" s="4" t="s">
        <v>346</v>
      </c>
      <c r="E91" s="4" t="s">
        <v>159</v>
      </c>
      <c r="F91" s="4" t="s">
        <v>879</v>
      </c>
      <c r="G91" s="4" t="s">
        <v>880</v>
      </c>
      <c r="H91" s="6">
        <v>8100</v>
      </c>
      <c r="I91" s="4"/>
    </row>
    <row r="92" spans="1:9">
      <c r="A92" s="5">
        <v>46173</v>
      </c>
      <c r="B92" s="4" t="s">
        <v>345</v>
      </c>
      <c r="C92" s="4" t="s">
        <v>295</v>
      </c>
      <c r="D92" s="4" t="s">
        <v>346</v>
      </c>
      <c r="E92" s="4" t="s">
        <v>159</v>
      </c>
      <c r="F92" s="4" t="s">
        <v>881</v>
      </c>
      <c r="G92" s="4" t="s">
        <v>882</v>
      </c>
      <c r="H92" s="6">
        <v>9900</v>
      </c>
      <c r="I92" s="4"/>
    </row>
    <row r="93" spans="1:9">
      <c r="A93" s="5">
        <v>46142</v>
      </c>
      <c r="B93" s="4" t="s">
        <v>347</v>
      </c>
      <c r="C93" s="4" t="s">
        <v>295</v>
      </c>
      <c r="D93" s="4" t="s">
        <v>348</v>
      </c>
      <c r="E93" s="4" t="s">
        <v>159</v>
      </c>
      <c r="F93" s="4" t="s">
        <v>883</v>
      </c>
      <c r="G93" s="4" t="s">
        <v>884</v>
      </c>
      <c r="H93" s="6">
        <v>0</v>
      </c>
      <c r="I93" s="4"/>
    </row>
    <row r="94" spans="1:9">
      <c r="A94" s="5">
        <v>46142</v>
      </c>
      <c r="B94" s="4" t="s">
        <v>349</v>
      </c>
      <c r="C94" s="4" t="s">
        <v>295</v>
      </c>
      <c r="D94" s="4" t="s">
        <v>350</v>
      </c>
      <c r="E94" s="4" t="s">
        <v>609</v>
      </c>
      <c r="F94" s="4" t="s">
        <v>885</v>
      </c>
      <c r="G94" s="4" t="s">
        <v>886</v>
      </c>
      <c r="H94" s="6">
        <v>23625</v>
      </c>
      <c r="I94" s="4"/>
    </row>
    <row r="95" spans="1:9">
      <c r="A95" s="5">
        <v>46173</v>
      </c>
      <c r="B95" s="4" t="s">
        <v>349</v>
      </c>
      <c r="C95" s="4" t="s">
        <v>295</v>
      </c>
      <c r="D95" s="4" t="s">
        <v>350</v>
      </c>
      <c r="E95" s="4" t="s">
        <v>609</v>
      </c>
      <c r="F95" s="4" t="s">
        <v>887</v>
      </c>
      <c r="G95" s="4" t="s">
        <v>888</v>
      </c>
      <c r="H95" s="6">
        <v>25200</v>
      </c>
      <c r="I95" s="4"/>
    </row>
    <row r="96" spans="1:9">
      <c r="A96" s="5">
        <v>46204</v>
      </c>
      <c r="B96" s="4" t="s">
        <v>349</v>
      </c>
      <c r="C96" s="4" t="s">
        <v>295</v>
      </c>
      <c r="D96" s="4" t="s">
        <v>350</v>
      </c>
      <c r="E96" s="4" t="s">
        <v>609</v>
      </c>
      <c r="F96" s="4" t="s">
        <v>889</v>
      </c>
      <c r="G96" s="4" t="s">
        <v>890</v>
      </c>
      <c r="H96" s="6">
        <v>26775</v>
      </c>
      <c r="I96" s="4"/>
    </row>
    <row r="97" spans="1:9">
      <c r="A97" s="5">
        <v>46235</v>
      </c>
      <c r="B97" s="4" t="s">
        <v>349</v>
      </c>
      <c r="C97" s="4" t="s">
        <v>295</v>
      </c>
      <c r="D97" s="4" t="s">
        <v>350</v>
      </c>
      <c r="E97" s="4" t="s">
        <v>609</v>
      </c>
      <c r="F97" s="4" t="s">
        <v>891</v>
      </c>
      <c r="G97" s="4" t="s">
        <v>892</v>
      </c>
      <c r="H97" s="6">
        <v>29400</v>
      </c>
      <c r="I97" s="4"/>
    </row>
    <row r="98" spans="1:9">
      <c r="A98" s="5">
        <v>46142</v>
      </c>
      <c r="B98" s="4" t="s">
        <v>361</v>
      </c>
      <c r="C98" s="4" t="s">
        <v>295</v>
      </c>
      <c r="D98" s="4" t="s">
        <v>362</v>
      </c>
      <c r="E98" s="4" t="s">
        <v>175</v>
      </c>
      <c r="F98" s="4" t="s">
        <v>893</v>
      </c>
      <c r="G98" s="4" t="s">
        <v>894</v>
      </c>
      <c r="H98" s="6">
        <v>14850</v>
      </c>
      <c r="I98" s="4"/>
    </row>
    <row r="99" spans="1:9">
      <c r="A99" s="5">
        <v>46173</v>
      </c>
      <c r="B99" s="4" t="s">
        <v>361</v>
      </c>
      <c r="C99" s="4" t="s">
        <v>295</v>
      </c>
      <c r="D99" s="4" t="s">
        <v>362</v>
      </c>
      <c r="E99" s="4" t="s">
        <v>175</v>
      </c>
      <c r="F99" s="4" t="s">
        <v>895</v>
      </c>
      <c r="G99" s="4" t="s">
        <v>896</v>
      </c>
      <c r="H99" s="6">
        <v>18150</v>
      </c>
      <c r="I99" s="4"/>
    </row>
    <row r="100" spans="1:9">
      <c r="A100" s="5">
        <v>46142</v>
      </c>
      <c r="B100" s="4" t="s">
        <v>363</v>
      </c>
      <c r="C100" s="4" t="s">
        <v>295</v>
      </c>
      <c r="D100" s="4" t="s">
        <v>364</v>
      </c>
      <c r="E100" s="4" t="s">
        <v>175</v>
      </c>
      <c r="F100" s="4" t="s">
        <v>897</v>
      </c>
      <c r="G100" s="4" t="s">
        <v>898</v>
      </c>
      <c r="H100" s="6">
        <v>12600</v>
      </c>
      <c r="I100" s="4"/>
    </row>
    <row r="101" spans="1:9">
      <c r="A101" s="5">
        <v>46173</v>
      </c>
      <c r="B101" s="4" t="s">
        <v>363</v>
      </c>
      <c r="C101" s="4" t="s">
        <v>295</v>
      </c>
      <c r="D101" s="4" t="s">
        <v>364</v>
      </c>
      <c r="E101" s="4" t="s">
        <v>175</v>
      </c>
      <c r="F101" s="4" t="s">
        <v>899</v>
      </c>
      <c r="G101" s="4" t="s">
        <v>900</v>
      </c>
      <c r="H101" s="6">
        <v>15400</v>
      </c>
      <c r="I101" s="4"/>
    </row>
    <row r="102" spans="1:9">
      <c r="A102" s="5">
        <v>46142</v>
      </c>
      <c r="B102" s="4" t="s">
        <v>365</v>
      </c>
      <c r="C102" s="4" t="s">
        <v>295</v>
      </c>
      <c r="D102" s="4" t="s">
        <v>366</v>
      </c>
      <c r="E102" s="4" t="s">
        <v>175</v>
      </c>
      <c r="F102" s="4" t="s">
        <v>901</v>
      </c>
      <c r="G102" s="4" t="s">
        <v>902</v>
      </c>
      <c r="H102" s="6">
        <v>13950</v>
      </c>
      <c r="I102" s="4"/>
    </row>
    <row r="103" spans="1:9">
      <c r="A103" s="5">
        <v>46173</v>
      </c>
      <c r="B103" s="4" t="s">
        <v>365</v>
      </c>
      <c r="C103" s="4" t="s">
        <v>295</v>
      </c>
      <c r="D103" s="4" t="s">
        <v>366</v>
      </c>
      <c r="E103" s="4" t="s">
        <v>175</v>
      </c>
      <c r="F103" s="4" t="s">
        <v>903</v>
      </c>
      <c r="G103" s="4" t="s">
        <v>904</v>
      </c>
      <c r="H103" s="6">
        <v>17050</v>
      </c>
      <c r="I103" s="4"/>
    </row>
    <row r="104" spans="1:9">
      <c r="A104" s="5">
        <v>46142</v>
      </c>
      <c r="B104" s="4" t="s">
        <v>371</v>
      </c>
      <c r="C104" s="4" t="s">
        <v>295</v>
      </c>
      <c r="D104" s="4" t="s">
        <v>372</v>
      </c>
      <c r="E104" s="4" t="s">
        <v>175</v>
      </c>
      <c r="F104" s="4" t="s">
        <v>905</v>
      </c>
      <c r="G104" s="4" t="s">
        <v>906</v>
      </c>
      <c r="H104" s="6">
        <v>10350</v>
      </c>
      <c r="I104" s="4"/>
    </row>
    <row r="105" spans="1:9">
      <c r="A105" s="5">
        <v>46173</v>
      </c>
      <c r="B105" s="4" t="s">
        <v>371</v>
      </c>
      <c r="C105" s="4" t="s">
        <v>295</v>
      </c>
      <c r="D105" s="4" t="s">
        <v>372</v>
      </c>
      <c r="E105" s="4" t="s">
        <v>175</v>
      </c>
      <c r="F105" s="4" t="s">
        <v>907</v>
      </c>
      <c r="G105" s="4" t="s">
        <v>908</v>
      </c>
      <c r="H105" s="6">
        <v>12650</v>
      </c>
      <c r="I105" s="4"/>
    </row>
    <row r="106" spans="1:9">
      <c r="A106" s="5">
        <v>46142</v>
      </c>
      <c r="B106" s="4" t="s">
        <v>377</v>
      </c>
      <c r="C106" s="4" t="s">
        <v>295</v>
      </c>
      <c r="D106" s="4" t="s">
        <v>378</v>
      </c>
      <c r="E106" s="4" t="s">
        <v>175</v>
      </c>
      <c r="F106" s="4" t="s">
        <v>909</v>
      </c>
      <c r="G106" s="4" t="s">
        <v>910</v>
      </c>
      <c r="H106" s="6">
        <v>17100</v>
      </c>
      <c r="I106" s="4"/>
    </row>
    <row r="107" spans="1:9">
      <c r="A107" s="5">
        <v>46173</v>
      </c>
      <c r="B107" s="4" t="s">
        <v>377</v>
      </c>
      <c r="C107" s="4" t="s">
        <v>295</v>
      </c>
      <c r="D107" s="4" t="s">
        <v>378</v>
      </c>
      <c r="E107" s="4" t="s">
        <v>175</v>
      </c>
      <c r="F107" s="4" t="s">
        <v>911</v>
      </c>
      <c r="G107" s="4" t="s">
        <v>912</v>
      </c>
      <c r="H107" s="6">
        <v>20900</v>
      </c>
      <c r="I107" s="4"/>
    </row>
    <row r="108" spans="1:9">
      <c r="A108" s="5">
        <v>46142</v>
      </c>
      <c r="B108" s="4" t="s">
        <v>381</v>
      </c>
      <c r="C108" s="4" t="s">
        <v>295</v>
      </c>
      <c r="D108" s="4" t="s">
        <v>382</v>
      </c>
      <c r="E108" s="4" t="s">
        <v>175</v>
      </c>
      <c r="F108" s="4" t="s">
        <v>913</v>
      </c>
      <c r="G108" s="4" t="s">
        <v>914</v>
      </c>
      <c r="H108" s="6">
        <v>20700</v>
      </c>
      <c r="I108" s="4"/>
    </row>
    <row r="109" spans="1:9">
      <c r="A109" s="5">
        <v>46173</v>
      </c>
      <c r="B109" s="4" t="s">
        <v>381</v>
      </c>
      <c r="C109" s="4" t="s">
        <v>295</v>
      </c>
      <c r="D109" s="4" t="s">
        <v>382</v>
      </c>
      <c r="E109" s="4" t="s">
        <v>175</v>
      </c>
      <c r="F109" s="4" t="s">
        <v>915</v>
      </c>
      <c r="G109" s="4" t="s">
        <v>916</v>
      </c>
      <c r="H109" s="6">
        <v>25300</v>
      </c>
      <c r="I109" s="4"/>
    </row>
    <row r="110" spans="1:9">
      <c r="A110" s="5">
        <v>46142</v>
      </c>
      <c r="B110" s="4" t="s">
        <v>395</v>
      </c>
      <c r="C110" s="4" t="s">
        <v>295</v>
      </c>
      <c r="D110" s="4" t="s">
        <v>396</v>
      </c>
      <c r="E110" s="4" t="s">
        <v>175</v>
      </c>
      <c r="F110" s="4" t="s">
        <v>917</v>
      </c>
      <c r="G110" s="4" t="s">
        <v>918</v>
      </c>
      <c r="H110" s="6">
        <v>6750</v>
      </c>
      <c r="I110" s="4"/>
    </row>
    <row r="111" spans="1:9">
      <c r="A111" s="5">
        <v>46173</v>
      </c>
      <c r="B111" s="4" t="s">
        <v>395</v>
      </c>
      <c r="C111" s="4" t="s">
        <v>295</v>
      </c>
      <c r="D111" s="4" t="s">
        <v>396</v>
      </c>
      <c r="E111" s="4" t="s">
        <v>175</v>
      </c>
      <c r="F111" s="4" t="s">
        <v>919</v>
      </c>
      <c r="G111" s="4" t="s">
        <v>920</v>
      </c>
      <c r="H111" s="6">
        <v>8250</v>
      </c>
      <c r="I111" s="4"/>
    </row>
    <row r="112" spans="1:9">
      <c r="A112" s="5">
        <v>46142</v>
      </c>
      <c r="B112" s="4" t="s">
        <v>401</v>
      </c>
      <c r="C112" s="4" t="s">
        <v>295</v>
      </c>
      <c r="D112" s="4" t="s">
        <v>402</v>
      </c>
      <c r="E112" s="4" t="s">
        <v>175</v>
      </c>
      <c r="F112" s="4" t="s">
        <v>921</v>
      </c>
      <c r="G112" s="4" t="s">
        <v>922</v>
      </c>
      <c r="H112" s="6">
        <v>13050</v>
      </c>
      <c r="I112" s="4"/>
    </row>
    <row r="113" spans="1:9">
      <c r="A113" s="5">
        <v>46173</v>
      </c>
      <c r="B113" s="4" t="s">
        <v>401</v>
      </c>
      <c r="C113" s="4" t="s">
        <v>295</v>
      </c>
      <c r="D113" s="4" t="s">
        <v>402</v>
      </c>
      <c r="E113" s="4" t="s">
        <v>175</v>
      </c>
      <c r="F113" s="4" t="s">
        <v>923</v>
      </c>
      <c r="G113" s="4" t="s">
        <v>924</v>
      </c>
      <c r="H113" s="6">
        <v>15950</v>
      </c>
      <c r="I113" s="4"/>
    </row>
    <row r="114" spans="1:9">
      <c r="A114" s="5">
        <v>46142</v>
      </c>
      <c r="B114" s="4" t="s">
        <v>415</v>
      </c>
      <c r="C114" s="4" t="s">
        <v>416</v>
      </c>
      <c r="D114" s="4" t="s">
        <v>417</v>
      </c>
      <c r="E114" s="4" t="s">
        <v>602</v>
      </c>
      <c r="F114" s="4" t="s">
        <v>925</v>
      </c>
      <c r="G114" s="4" t="s">
        <v>926</v>
      </c>
      <c r="H114" s="6">
        <v>22800</v>
      </c>
      <c r="I114" s="4"/>
    </row>
    <row r="115" spans="1:9">
      <c r="A115" s="5">
        <v>46173</v>
      </c>
      <c r="B115" s="4" t="s">
        <v>415</v>
      </c>
      <c r="C115" s="4" t="s">
        <v>416</v>
      </c>
      <c r="D115" s="4" t="s">
        <v>417</v>
      </c>
      <c r="E115" s="4" t="s">
        <v>602</v>
      </c>
      <c r="F115" s="4" t="s">
        <v>927</v>
      </c>
      <c r="G115" s="4" t="s">
        <v>928</v>
      </c>
      <c r="H115" s="6">
        <v>24320</v>
      </c>
      <c r="I115" s="4"/>
    </row>
    <row r="116" spans="1:9">
      <c r="A116" s="5">
        <v>46204</v>
      </c>
      <c r="B116" s="4" t="s">
        <v>415</v>
      </c>
      <c r="C116" s="4" t="s">
        <v>416</v>
      </c>
      <c r="D116" s="4" t="s">
        <v>417</v>
      </c>
      <c r="E116" s="4" t="s">
        <v>602</v>
      </c>
      <c r="F116" s="4" t="s">
        <v>929</v>
      </c>
      <c r="G116" s="4" t="s">
        <v>930</v>
      </c>
      <c r="H116" s="6">
        <v>28880</v>
      </c>
      <c r="I116" s="4"/>
    </row>
    <row r="117" spans="1:9">
      <c r="A117" s="5">
        <v>46142</v>
      </c>
      <c r="B117" s="4" t="s">
        <v>430</v>
      </c>
      <c r="C117" s="4" t="s">
        <v>416</v>
      </c>
      <c r="D117" s="4" t="s">
        <v>431</v>
      </c>
      <c r="E117" s="4" t="s">
        <v>254</v>
      </c>
      <c r="F117" s="4" t="s">
        <v>931</v>
      </c>
      <c r="G117" s="4" t="s">
        <v>932</v>
      </c>
      <c r="H117" s="6">
        <v>15750</v>
      </c>
      <c r="I117" s="4"/>
    </row>
    <row r="118" spans="1:9">
      <c r="A118" s="5">
        <v>46173</v>
      </c>
      <c r="B118" s="4" t="s">
        <v>430</v>
      </c>
      <c r="C118" s="4" t="s">
        <v>416</v>
      </c>
      <c r="D118" s="4" t="s">
        <v>431</v>
      </c>
      <c r="E118" s="4" t="s">
        <v>254</v>
      </c>
      <c r="F118" s="4" t="s">
        <v>933</v>
      </c>
      <c r="G118" s="4" t="s">
        <v>934</v>
      </c>
      <c r="H118" s="6">
        <v>19250</v>
      </c>
      <c r="I118" s="4"/>
    </row>
    <row r="119" spans="1:9">
      <c r="A119" s="5">
        <v>46142</v>
      </c>
      <c r="B119" s="4" t="s">
        <v>436</v>
      </c>
      <c r="C119" s="4" t="s">
        <v>416</v>
      </c>
      <c r="D119" s="4" t="s">
        <v>437</v>
      </c>
      <c r="E119" s="4" t="s">
        <v>254</v>
      </c>
      <c r="F119" s="4" t="s">
        <v>935</v>
      </c>
      <c r="G119" s="4" t="s">
        <v>936</v>
      </c>
      <c r="H119" s="6">
        <v>8100</v>
      </c>
      <c r="I119" s="4"/>
    </row>
    <row r="120" spans="1:9">
      <c r="A120" s="5">
        <v>46173</v>
      </c>
      <c r="B120" s="4" t="s">
        <v>436</v>
      </c>
      <c r="C120" s="4" t="s">
        <v>416</v>
      </c>
      <c r="D120" s="4" t="s">
        <v>437</v>
      </c>
      <c r="E120" s="4" t="s">
        <v>254</v>
      </c>
      <c r="F120" s="4" t="s">
        <v>937</v>
      </c>
      <c r="G120" s="4" t="s">
        <v>938</v>
      </c>
      <c r="H120" s="6">
        <v>9900</v>
      </c>
      <c r="I120" s="4"/>
    </row>
    <row r="121" spans="1:9">
      <c r="A121" s="5">
        <v>46142</v>
      </c>
      <c r="B121" s="4" t="s">
        <v>444</v>
      </c>
      <c r="C121" s="4" t="s">
        <v>416</v>
      </c>
      <c r="D121" s="4" t="s">
        <v>445</v>
      </c>
      <c r="E121" s="4" t="s">
        <v>254</v>
      </c>
      <c r="F121" s="4" t="s">
        <v>939</v>
      </c>
      <c r="G121" s="4" t="s">
        <v>940</v>
      </c>
      <c r="H121" s="6">
        <v>15300</v>
      </c>
      <c r="I121" s="4"/>
    </row>
    <row r="122" spans="1:9">
      <c r="A122" s="5">
        <v>46173</v>
      </c>
      <c r="B122" s="4" t="s">
        <v>444</v>
      </c>
      <c r="C122" s="4" t="s">
        <v>416</v>
      </c>
      <c r="D122" s="4" t="s">
        <v>445</v>
      </c>
      <c r="E122" s="4" t="s">
        <v>254</v>
      </c>
      <c r="F122" s="4" t="s">
        <v>941</v>
      </c>
      <c r="G122" s="4" t="s">
        <v>942</v>
      </c>
      <c r="H122" s="6">
        <v>18700</v>
      </c>
      <c r="I122" s="4"/>
    </row>
    <row r="123" spans="1:9">
      <c r="A123" s="5">
        <v>46142</v>
      </c>
      <c r="B123" s="4" t="s">
        <v>448</v>
      </c>
      <c r="C123" s="4" t="s">
        <v>416</v>
      </c>
      <c r="D123" s="4" t="s">
        <v>449</v>
      </c>
      <c r="E123" s="4" t="s">
        <v>254</v>
      </c>
      <c r="F123" s="4" t="s">
        <v>943</v>
      </c>
      <c r="G123" s="4" t="s">
        <v>944</v>
      </c>
      <c r="H123" s="6">
        <v>11250</v>
      </c>
      <c r="I123" s="4"/>
    </row>
    <row r="124" spans="1:9">
      <c r="A124" s="5">
        <v>46173</v>
      </c>
      <c r="B124" s="4" t="s">
        <v>448</v>
      </c>
      <c r="C124" s="4" t="s">
        <v>416</v>
      </c>
      <c r="D124" s="4" t="s">
        <v>449</v>
      </c>
      <c r="E124" s="4" t="s">
        <v>254</v>
      </c>
      <c r="F124" s="4" t="s">
        <v>945</v>
      </c>
      <c r="G124" s="4" t="s">
        <v>946</v>
      </c>
      <c r="H124" s="6">
        <v>13750</v>
      </c>
      <c r="I124" s="4"/>
    </row>
    <row r="125" spans="1:9">
      <c r="A125" s="5">
        <v>46142</v>
      </c>
      <c r="B125" s="4" t="s">
        <v>462</v>
      </c>
      <c r="C125" s="4" t="s">
        <v>463</v>
      </c>
      <c r="D125" s="4" t="s">
        <v>464</v>
      </c>
      <c r="E125" s="4" t="s">
        <v>112</v>
      </c>
      <c r="F125" s="4" t="s">
        <v>947</v>
      </c>
      <c r="G125" s="4" t="s">
        <v>948</v>
      </c>
      <c r="H125" s="6">
        <v>24000</v>
      </c>
      <c r="I125" s="4"/>
    </row>
    <row r="126" spans="1:9">
      <c r="A126" s="5">
        <v>46173</v>
      </c>
      <c r="B126" s="4" t="s">
        <v>462</v>
      </c>
      <c r="C126" s="4" t="s">
        <v>463</v>
      </c>
      <c r="D126" s="4" t="s">
        <v>464</v>
      </c>
      <c r="E126" s="4" t="s">
        <v>112</v>
      </c>
      <c r="F126" s="4" t="s">
        <v>949</v>
      </c>
      <c r="G126" s="4" t="s">
        <v>950</v>
      </c>
      <c r="H126" s="6">
        <v>25600</v>
      </c>
      <c r="I126" s="4"/>
    </row>
    <row r="127" spans="1:9">
      <c r="A127" s="5">
        <v>46204</v>
      </c>
      <c r="B127" s="4" t="s">
        <v>462</v>
      </c>
      <c r="C127" s="4" t="s">
        <v>463</v>
      </c>
      <c r="D127" s="4" t="s">
        <v>464</v>
      </c>
      <c r="E127" s="4" t="s">
        <v>112</v>
      </c>
      <c r="F127" s="4" t="s">
        <v>951</v>
      </c>
      <c r="G127" s="4" t="s">
        <v>952</v>
      </c>
      <c r="H127" s="6">
        <v>30400</v>
      </c>
      <c r="I127" s="4"/>
    </row>
    <row r="128" spans="1:9">
      <c r="A128" s="5">
        <v>46142</v>
      </c>
      <c r="B128" s="4" t="s">
        <v>465</v>
      </c>
      <c r="C128" s="4" t="s">
        <v>463</v>
      </c>
      <c r="D128" s="4" t="s">
        <v>466</v>
      </c>
      <c r="E128" s="4" t="s">
        <v>112</v>
      </c>
      <c r="F128" s="4" t="s">
        <v>953</v>
      </c>
      <c r="G128" s="4" t="s">
        <v>954</v>
      </c>
      <c r="H128" s="6">
        <v>17250</v>
      </c>
      <c r="I128" s="4"/>
    </row>
    <row r="129" spans="1:9">
      <c r="A129" s="5">
        <v>46173</v>
      </c>
      <c r="B129" s="4" t="s">
        <v>465</v>
      </c>
      <c r="C129" s="4" t="s">
        <v>463</v>
      </c>
      <c r="D129" s="4" t="s">
        <v>466</v>
      </c>
      <c r="E129" s="4" t="s">
        <v>112</v>
      </c>
      <c r="F129" s="4" t="s">
        <v>955</v>
      </c>
      <c r="G129" s="4" t="s">
        <v>956</v>
      </c>
      <c r="H129" s="6">
        <v>18400</v>
      </c>
      <c r="I129" s="4"/>
    </row>
    <row r="130" spans="1:9">
      <c r="A130" s="5">
        <v>46204</v>
      </c>
      <c r="B130" s="4" t="s">
        <v>465</v>
      </c>
      <c r="C130" s="4" t="s">
        <v>463</v>
      </c>
      <c r="D130" s="4" t="s">
        <v>466</v>
      </c>
      <c r="E130" s="4" t="s">
        <v>112</v>
      </c>
      <c r="F130" s="4" t="s">
        <v>957</v>
      </c>
      <c r="G130" s="4" t="s">
        <v>958</v>
      </c>
      <c r="H130" s="6">
        <v>21850</v>
      </c>
      <c r="I130" s="4"/>
    </row>
    <row r="131" spans="1:9">
      <c r="A131" s="5">
        <v>46142</v>
      </c>
      <c r="B131" s="4" t="s">
        <v>333</v>
      </c>
      <c r="C131" s="4" t="s">
        <v>295</v>
      </c>
      <c r="D131" s="4" t="s">
        <v>334</v>
      </c>
      <c r="E131" s="4" t="s">
        <v>959</v>
      </c>
      <c r="F131" s="4" t="s">
        <v>960</v>
      </c>
      <c r="G131" s="4" t="s">
        <v>961</v>
      </c>
      <c r="H131" s="6">
        <v>8500</v>
      </c>
      <c r="I131" s="4" t="s">
        <v>962</v>
      </c>
    </row>
    <row r="132" spans="1:9">
      <c r="A132" s="5">
        <v>46142</v>
      </c>
      <c r="B132" s="4" t="s">
        <v>476</v>
      </c>
      <c r="C132" s="4" t="s">
        <v>468</v>
      </c>
      <c r="D132" s="4" t="s">
        <v>477</v>
      </c>
      <c r="E132" s="4" t="s">
        <v>74</v>
      </c>
      <c r="F132" s="4" t="s">
        <v>963</v>
      </c>
      <c r="G132" s="4" t="s">
        <v>964</v>
      </c>
      <c r="H132" s="6">
        <v>10000</v>
      </c>
      <c r="I132" s="4"/>
    </row>
    <row r="133" spans="1:9">
      <c r="A133" s="5">
        <v>46142</v>
      </c>
      <c r="B133" s="4" t="s">
        <v>480</v>
      </c>
      <c r="C133" s="4" t="s">
        <v>468</v>
      </c>
      <c r="D133" s="4" t="s">
        <v>482</v>
      </c>
      <c r="E133" s="4" t="s">
        <v>481</v>
      </c>
      <c r="F133" s="4" t="s">
        <v>965</v>
      </c>
      <c r="G133" s="4" t="s">
        <v>966</v>
      </c>
      <c r="H133" s="6">
        <v>8100</v>
      </c>
      <c r="I133" s="4"/>
    </row>
    <row r="134" spans="1:9">
      <c r="A134" s="5">
        <v>46173</v>
      </c>
      <c r="B134" s="4" t="s">
        <v>480</v>
      </c>
      <c r="C134" s="4" t="s">
        <v>468</v>
      </c>
      <c r="D134" s="4" t="s">
        <v>482</v>
      </c>
      <c r="E134" s="4" t="s">
        <v>481</v>
      </c>
      <c r="F134" s="4" t="s">
        <v>967</v>
      </c>
      <c r="G134" s="4" t="s">
        <v>968</v>
      </c>
      <c r="H134" s="6">
        <v>9900</v>
      </c>
      <c r="I134" s="4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0"/>
  <sheetViews>
    <sheetView workbookViewId="0"/>
  </sheetViews>
  <sheetFormatPr defaultRowHeight="14.25"/>
  <cols>
    <col min="1" max="1" width="11" customWidth="1"/>
    <col min="2" max="2" width="42" customWidth="1"/>
    <col min="3" max="3" width="18" customWidth="1"/>
    <col min="4" max="4" width="21" customWidth="1"/>
    <col min="5" max="6" width="18" customWidth="1"/>
    <col min="7" max="7" width="20" customWidth="1"/>
    <col min="8" max="8" width="58" customWidth="1"/>
  </cols>
  <sheetData>
    <row r="1" spans="1:8" ht="27.95" customHeight="1">
      <c r="A1" s="16" t="s">
        <v>969</v>
      </c>
      <c r="B1" s="16"/>
      <c r="C1" s="16"/>
      <c r="D1" s="16"/>
      <c r="E1" s="16"/>
      <c r="F1" s="16"/>
      <c r="G1" s="16"/>
      <c r="H1" s="16"/>
    </row>
    <row r="3" spans="1:8" ht="30">
      <c r="A3" s="3" t="s">
        <v>54</v>
      </c>
      <c r="B3" s="3" t="s">
        <v>57</v>
      </c>
      <c r="C3" s="3" t="s">
        <v>59</v>
      </c>
      <c r="D3" s="3" t="s">
        <v>970</v>
      </c>
      <c r="E3" s="3" t="s">
        <v>971</v>
      </c>
      <c r="F3" s="3" t="s">
        <v>972</v>
      </c>
      <c r="G3" s="3" t="s">
        <v>973</v>
      </c>
      <c r="H3" s="3" t="s">
        <v>974</v>
      </c>
    </row>
    <row r="4" spans="1:8">
      <c r="A4" t="s">
        <v>61</v>
      </c>
      <c r="B4" t="s">
        <v>64</v>
      </c>
      <c r="C4" s="6">
        <v>1650000</v>
      </c>
      <c r="D4" s="8">
        <f>SUMIF('Package PO Plan'!$B:$B,A4,'Package PO Plan'!$F:$F)+SUMIF('Commercial Events'!$B:$B,A4,'Commercial Events'!$K:$K)</f>
        <v>0</v>
      </c>
      <c r="E4" s="8">
        <f>SUMIF(Ledger!$B:$B,A4,Ledger!$H:$H)</f>
        <v>1650000</v>
      </c>
      <c r="F4" s="7">
        <f t="shared" ref="F4:F48" si="0">MAX(C4,D4,E4)</f>
        <v>1650000</v>
      </c>
      <c r="G4" s="7">
        <f t="shared" ref="G4:G35" si="1">C4-F4</f>
        <v>0</v>
      </c>
      <c r="H4" t="s">
        <v>975</v>
      </c>
    </row>
    <row r="5" spans="1:8">
      <c r="A5" t="s">
        <v>71</v>
      </c>
      <c r="B5" t="s">
        <v>72</v>
      </c>
      <c r="C5" s="6">
        <v>85000</v>
      </c>
      <c r="D5" s="8">
        <f>SUMIF('Package PO Plan'!$B:$B,A5,'Package PO Plan'!$F:$F)+SUMIF('Commercial Events'!$B:$B,A5,'Commercial Events'!$K:$K)</f>
        <v>0</v>
      </c>
      <c r="E5" s="8">
        <f>SUMIF(Ledger!$B:$B,A5,Ledger!$H:$H)</f>
        <v>85000</v>
      </c>
      <c r="F5" s="7">
        <f t="shared" si="0"/>
        <v>85000</v>
      </c>
      <c r="G5" s="7">
        <f t="shared" si="1"/>
        <v>0</v>
      </c>
      <c r="H5" t="s">
        <v>975</v>
      </c>
    </row>
    <row r="6" spans="1:8">
      <c r="A6" t="s">
        <v>73</v>
      </c>
      <c r="B6" t="s">
        <v>75</v>
      </c>
      <c r="C6" s="6">
        <v>25000</v>
      </c>
      <c r="D6" s="8">
        <f>SUMIF('Package PO Plan'!$B:$B,A6,'Package PO Plan'!$F:$F)+SUMIF('Commercial Events'!$B:$B,A6,'Commercial Events'!$K:$K)</f>
        <v>0</v>
      </c>
      <c r="E6" s="8">
        <f>SUMIF(Ledger!$B:$B,A6,Ledger!$H:$H)</f>
        <v>22000</v>
      </c>
      <c r="F6" s="7">
        <f t="shared" si="0"/>
        <v>25000</v>
      </c>
      <c r="G6" s="7">
        <f t="shared" si="1"/>
        <v>0</v>
      </c>
      <c r="H6" t="s">
        <v>975</v>
      </c>
    </row>
    <row r="7" spans="1:8">
      <c r="A7" t="s">
        <v>82</v>
      </c>
      <c r="B7" t="s">
        <v>84</v>
      </c>
      <c r="C7" s="6">
        <v>35000</v>
      </c>
      <c r="D7" s="8">
        <f>SUMIF('Package PO Plan'!$B:$B,A7,'Package PO Plan'!$F:$F)+SUMIF('Commercial Events'!$B:$B,A7,'Commercial Events'!$K:$K)</f>
        <v>0</v>
      </c>
      <c r="E7" s="8">
        <f>SUMIF(Ledger!$B:$B,A7,Ledger!$H:$H)</f>
        <v>35000</v>
      </c>
      <c r="F7" s="7">
        <f t="shared" si="0"/>
        <v>35000</v>
      </c>
      <c r="G7" s="7">
        <f t="shared" si="1"/>
        <v>0</v>
      </c>
      <c r="H7" t="s">
        <v>975</v>
      </c>
    </row>
    <row r="8" spans="1:8">
      <c r="A8" t="s">
        <v>85</v>
      </c>
      <c r="B8" t="s">
        <v>86</v>
      </c>
      <c r="C8" s="6">
        <v>25000</v>
      </c>
      <c r="D8" s="8">
        <f>SUMIF('Package PO Plan'!$B:$B,A8,'Package PO Plan'!$F:$F)+SUMIF('Commercial Events'!$B:$B,A8,'Commercial Events'!$K:$K)</f>
        <v>0</v>
      </c>
      <c r="E8" s="8">
        <f>SUMIF(Ledger!$B:$B,A8,Ledger!$H:$H)</f>
        <v>25000</v>
      </c>
      <c r="F8" s="7">
        <f t="shared" si="0"/>
        <v>25000</v>
      </c>
      <c r="G8" s="7">
        <f t="shared" si="1"/>
        <v>0</v>
      </c>
      <c r="H8" t="s">
        <v>975</v>
      </c>
    </row>
    <row r="9" spans="1:8">
      <c r="A9" t="s">
        <v>87</v>
      </c>
      <c r="B9" t="s">
        <v>88</v>
      </c>
      <c r="C9" s="6">
        <v>15000</v>
      </c>
      <c r="D9" s="8">
        <f>SUMIF('Package PO Plan'!$B:$B,A9,'Package PO Plan'!$F:$F)+SUMIF('Commercial Events'!$B:$B,A9,'Commercial Events'!$K:$K)</f>
        <v>0</v>
      </c>
      <c r="E9" s="8">
        <f>SUMIF(Ledger!$B:$B,A9,Ledger!$H:$H)</f>
        <v>15000</v>
      </c>
      <c r="F9" s="7">
        <f t="shared" si="0"/>
        <v>15000</v>
      </c>
      <c r="G9" s="7">
        <f t="shared" si="1"/>
        <v>0</v>
      </c>
      <c r="H9" t="s">
        <v>975</v>
      </c>
    </row>
    <row r="10" spans="1:8">
      <c r="A10" t="s">
        <v>89</v>
      </c>
      <c r="B10" t="s">
        <v>90</v>
      </c>
      <c r="C10" s="6">
        <v>20000</v>
      </c>
      <c r="D10" s="8">
        <f>SUMIF('Package PO Plan'!$B:$B,A10,'Package PO Plan'!$F:$F)+SUMIF('Commercial Events'!$B:$B,A10,'Commercial Events'!$K:$K)</f>
        <v>0</v>
      </c>
      <c r="E10" s="8">
        <f>SUMIF(Ledger!$B:$B,A10,Ledger!$H:$H)</f>
        <v>0</v>
      </c>
      <c r="F10" s="7">
        <f t="shared" si="0"/>
        <v>20000</v>
      </c>
      <c r="G10" s="7">
        <f t="shared" si="1"/>
        <v>0</v>
      </c>
      <c r="H10" t="s">
        <v>975</v>
      </c>
    </row>
    <row r="11" spans="1:8">
      <c r="A11" t="s">
        <v>91</v>
      </c>
      <c r="B11" t="s">
        <v>92</v>
      </c>
      <c r="C11" s="6">
        <v>40000</v>
      </c>
      <c r="D11" s="8">
        <f>SUMIF('Package PO Plan'!$B:$B,A11,'Package PO Plan'!$F:$F)+SUMIF('Commercial Events'!$B:$B,A11,'Commercial Events'!$K:$K)</f>
        <v>0</v>
      </c>
      <c r="E11" s="8">
        <f>SUMIF(Ledger!$B:$B,A11,Ledger!$H:$H)</f>
        <v>28000</v>
      </c>
      <c r="F11" s="7">
        <f t="shared" si="0"/>
        <v>40000</v>
      </c>
      <c r="G11" s="7">
        <f t="shared" si="1"/>
        <v>0</v>
      </c>
      <c r="H11" t="s">
        <v>975</v>
      </c>
    </row>
    <row r="12" spans="1:8">
      <c r="A12" t="s">
        <v>93</v>
      </c>
      <c r="B12" t="s">
        <v>94</v>
      </c>
      <c r="C12" s="6">
        <v>55000</v>
      </c>
      <c r="D12" s="8">
        <f>SUMIF('Package PO Plan'!$B:$B,A12,'Package PO Plan'!$F:$F)+SUMIF('Commercial Events'!$B:$B,A12,'Commercial Events'!$K:$K)</f>
        <v>0</v>
      </c>
      <c r="E12" s="8">
        <f>SUMIF(Ledger!$B:$B,A12,Ledger!$H:$H)</f>
        <v>25000</v>
      </c>
      <c r="F12" s="7">
        <f t="shared" si="0"/>
        <v>55000</v>
      </c>
      <c r="G12" s="7">
        <f t="shared" si="1"/>
        <v>0</v>
      </c>
      <c r="H12" t="s">
        <v>975</v>
      </c>
    </row>
    <row r="13" spans="1:8">
      <c r="A13" t="s">
        <v>95</v>
      </c>
      <c r="B13" t="s">
        <v>96</v>
      </c>
      <c r="C13" s="6">
        <v>75000</v>
      </c>
      <c r="D13" s="8">
        <f>SUMIF('Package PO Plan'!$B:$B,A13,'Package PO Plan'!$F:$F)+SUMIF('Commercial Events'!$B:$B,A13,'Commercial Events'!$K:$K)</f>
        <v>0</v>
      </c>
      <c r="E13" s="8">
        <f>SUMIF(Ledger!$B:$B,A13,Ledger!$H:$H)</f>
        <v>42000</v>
      </c>
      <c r="F13" s="7">
        <f t="shared" si="0"/>
        <v>75000</v>
      </c>
      <c r="G13" s="7">
        <f t="shared" si="1"/>
        <v>0</v>
      </c>
      <c r="H13" t="s">
        <v>975</v>
      </c>
    </row>
    <row r="14" spans="1:8">
      <c r="A14" t="s">
        <v>97</v>
      </c>
      <c r="B14" t="s">
        <v>98</v>
      </c>
      <c r="C14" s="6">
        <v>20000</v>
      </c>
      <c r="D14" s="8">
        <f>SUMIF('Package PO Plan'!$B:$B,A14,'Package PO Plan'!$F:$F)+SUMIF('Commercial Events'!$B:$B,A14,'Commercial Events'!$K:$K)</f>
        <v>0</v>
      </c>
      <c r="E14" s="8">
        <f>SUMIF(Ledger!$B:$B,A14,Ledger!$H:$H)</f>
        <v>0</v>
      </c>
      <c r="F14" s="7">
        <f t="shared" si="0"/>
        <v>20000</v>
      </c>
      <c r="G14" s="7">
        <f t="shared" si="1"/>
        <v>0</v>
      </c>
      <c r="H14" t="s">
        <v>975</v>
      </c>
    </row>
    <row r="15" spans="1:8">
      <c r="A15" t="s">
        <v>99</v>
      </c>
      <c r="B15" t="s">
        <v>100</v>
      </c>
      <c r="C15" s="6">
        <v>25000</v>
      </c>
      <c r="D15" s="8">
        <f>SUMIF('Package PO Plan'!$B:$B,A15,'Package PO Plan'!$F:$F)+SUMIF('Commercial Events'!$B:$B,A15,'Commercial Events'!$K:$K)</f>
        <v>0</v>
      </c>
      <c r="E15" s="8">
        <f>SUMIF(Ledger!$B:$B,A15,Ledger!$H:$H)</f>
        <v>0</v>
      </c>
      <c r="F15" s="7">
        <f t="shared" si="0"/>
        <v>25000</v>
      </c>
      <c r="G15" s="7">
        <f t="shared" si="1"/>
        <v>0</v>
      </c>
      <c r="H15" t="s">
        <v>975</v>
      </c>
    </row>
    <row r="16" spans="1:8">
      <c r="A16" t="s">
        <v>101</v>
      </c>
      <c r="B16" t="s">
        <v>102</v>
      </c>
      <c r="C16" s="6">
        <v>15000</v>
      </c>
      <c r="D16" s="8">
        <f>SUMIF('Package PO Plan'!$B:$B,A16,'Package PO Plan'!$F:$F)+SUMIF('Commercial Events'!$B:$B,A16,'Commercial Events'!$K:$K)</f>
        <v>0</v>
      </c>
      <c r="E16" s="8">
        <f>SUMIF(Ledger!$B:$B,A16,Ledger!$H:$H)</f>
        <v>0</v>
      </c>
      <c r="F16" s="7">
        <f t="shared" si="0"/>
        <v>15000</v>
      </c>
      <c r="G16" s="7">
        <f t="shared" si="1"/>
        <v>0</v>
      </c>
      <c r="H16" t="s">
        <v>975</v>
      </c>
    </row>
    <row r="17" spans="1:8">
      <c r="A17" t="s">
        <v>105</v>
      </c>
      <c r="B17" t="s">
        <v>106</v>
      </c>
      <c r="C17" s="6">
        <v>20000</v>
      </c>
      <c r="D17" s="8">
        <f>SUMIF('Package PO Plan'!$B:$B,A17,'Package PO Plan'!$F:$F)+SUMIF('Commercial Events'!$B:$B,A17,'Commercial Events'!$K:$K)</f>
        <v>0</v>
      </c>
      <c r="E17" s="8">
        <f>SUMIF(Ledger!$B:$B,A17,Ledger!$H:$H)</f>
        <v>8000</v>
      </c>
      <c r="F17" s="7">
        <f t="shared" si="0"/>
        <v>20000</v>
      </c>
      <c r="G17" s="7">
        <f t="shared" si="1"/>
        <v>0</v>
      </c>
      <c r="H17" t="s">
        <v>975</v>
      </c>
    </row>
    <row r="18" spans="1:8">
      <c r="A18" t="s">
        <v>107</v>
      </c>
      <c r="B18" t="s">
        <v>108</v>
      </c>
      <c r="C18" s="6">
        <v>15000</v>
      </c>
      <c r="D18" s="8">
        <f>SUMIF('Package PO Plan'!$B:$B,A18,'Package PO Plan'!$F:$F)+SUMIF('Commercial Events'!$B:$B,A18,'Commercial Events'!$K:$K)</f>
        <v>0</v>
      </c>
      <c r="E18" s="8">
        <f>SUMIF(Ledger!$B:$B,A18,Ledger!$H:$H)</f>
        <v>6000</v>
      </c>
      <c r="F18" s="7">
        <f t="shared" si="0"/>
        <v>15000</v>
      </c>
      <c r="G18" s="7">
        <f t="shared" si="1"/>
        <v>0</v>
      </c>
      <c r="H18" t="s">
        <v>975</v>
      </c>
    </row>
    <row r="19" spans="1:8">
      <c r="A19" t="s">
        <v>109</v>
      </c>
      <c r="B19" t="s">
        <v>110</v>
      </c>
      <c r="C19" s="6">
        <v>10000</v>
      </c>
      <c r="D19" s="8">
        <f>SUMIF('Package PO Plan'!$B:$B,A19,'Package PO Plan'!$F:$F)+SUMIF('Commercial Events'!$B:$B,A19,'Commercial Events'!$K:$K)</f>
        <v>0</v>
      </c>
      <c r="E19" s="8">
        <f>SUMIF(Ledger!$B:$B,A19,Ledger!$H:$H)</f>
        <v>0</v>
      </c>
      <c r="F19" s="7">
        <f t="shared" si="0"/>
        <v>10000</v>
      </c>
      <c r="G19" s="7">
        <f t="shared" si="1"/>
        <v>0</v>
      </c>
      <c r="H19" t="s">
        <v>975</v>
      </c>
    </row>
    <row r="20" spans="1:8">
      <c r="A20" t="s">
        <v>111</v>
      </c>
      <c r="B20" t="s">
        <v>113</v>
      </c>
      <c r="C20" s="6">
        <v>18000</v>
      </c>
      <c r="D20" s="8">
        <f>SUMIF('Package PO Plan'!$B:$B,A20,'Package PO Plan'!$F:$F)+SUMIF('Commercial Events'!$B:$B,A20,'Commercial Events'!$K:$K)</f>
        <v>0</v>
      </c>
      <c r="E20" s="8">
        <f>SUMIF(Ledger!$B:$B,A20,Ledger!$H:$H)</f>
        <v>0</v>
      </c>
      <c r="F20" s="7">
        <f t="shared" si="0"/>
        <v>18000</v>
      </c>
      <c r="G20" s="7">
        <f t="shared" si="1"/>
        <v>0</v>
      </c>
      <c r="H20" t="s">
        <v>975</v>
      </c>
    </row>
    <row r="21" spans="1:8">
      <c r="A21" t="s">
        <v>114</v>
      </c>
      <c r="B21" t="s">
        <v>115</v>
      </c>
      <c r="C21" s="6">
        <v>22000</v>
      </c>
      <c r="D21" s="8">
        <f>SUMIF('Package PO Plan'!$B:$B,A21,'Package PO Plan'!$F:$F)+SUMIF('Commercial Events'!$B:$B,A21,'Commercial Events'!$K:$K)</f>
        <v>0</v>
      </c>
      <c r="E21" s="8">
        <f>SUMIF(Ledger!$B:$B,A21,Ledger!$H:$H)</f>
        <v>0</v>
      </c>
      <c r="F21" s="7">
        <f t="shared" si="0"/>
        <v>22000</v>
      </c>
      <c r="G21" s="7">
        <f t="shared" si="1"/>
        <v>0</v>
      </c>
      <c r="H21" t="s">
        <v>975</v>
      </c>
    </row>
    <row r="22" spans="1:8">
      <c r="A22" t="s">
        <v>116</v>
      </c>
      <c r="B22" t="s">
        <v>117</v>
      </c>
      <c r="C22" s="6">
        <v>12000</v>
      </c>
      <c r="D22" s="8">
        <f>SUMIF('Package PO Plan'!$B:$B,A22,'Package PO Plan'!$F:$F)+SUMIF('Commercial Events'!$B:$B,A22,'Commercial Events'!$K:$K)</f>
        <v>0</v>
      </c>
      <c r="E22" s="8">
        <f>SUMIF(Ledger!$B:$B,A22,Ledger!$H:$H)</f>
        <v>0</v>
      </c>
      <c r="F22" s="7">
        <f t="shared" si="0"/>
        <v>12000</v>
      </c>
      <c r="G22" s="7">
        <f t="shared" si="1"/>
        <v>0</v>
      </c>
      <c r="H22" t="s">
        <v>975</v>
      </c>
    </row>
    <row r="23" spans="1:8">
      <c r="A23" t="s">
        <v>118</v>
      </c>
      <c r="B23" t="s">
        <v>119</v>
      </c>
      <c r="C23" s="6">
        <v>22000</v>
      </c>
      <c r="D23" s="8">
        <f>SUMIF('Package PO Plan'!$B:$B,A23,'Package PO Plan'!$F:$F)+SUMIF('Commercial Events'!$B:$B,A23,'Commercial Events'!$K:$K)</f>
        <v>0</v>
      </c>
      <c r="E23" s="8">
        <f>SUMIF(Ledger!$B:$B,A23,Ledger!$H:$H)</f>
        <v>0</v>
      </c>
      <c r="F23" s="7">
        <f t="shared" si="0"/>
        <v>22000</v>
      </c>
      <c r="G23" s="7">
        <f t="shared" si="1"/>
        <v>0</v>
      </c>
      <c r="H23" t="s">
        <v>975</v>
      </c>
    </row>
    <row r="24" spans="1:8">
      <c r="A24" t="s">
        <v>122</v>
      </c>
      <c r="B24" t="s">
        <v>123</v>
      </c>
      <c r="C24" s="6">
        <v>10000</v>
      </c>
      <c r="D24" s="8">
        <f>SUMIF('Package PO Plan'!$B:$B,A24,'Package PO Plan'!$F:$F)+SUMIF('Commercial Events'!$B:$B,A24,'Commercial Events'!$K:$K)</f>
        <v>0</v>
      </c>
      <c r="E24" s="8">
        <f>SUMIF(Ledger!$B:$B,A24,Ledger!$H:$H)</f>
        <v>0</v>
      </c>
      <c r="F24" s="7">
        <f t="shared" si="0"/>
        <v>10000</v>
      </c>
      <c r="G24" s="7">
        <f t="shared" si="1"/>
        <v>0</v>
      </c>
      <c r="H24" t="s">
        <v>975</v>
      </c>
    </row>
    <row r="25" spans="1:8">
      <c r="A25" t="s">
        <v>124</v>
      </c>
      <c r="B25" t="s">
        <v>125</v>
      </c>
      <c r="C25" s="6">
        <v>7500</v>
      </c>
      <c r="D25" s="8">
        <f>SUMIF('Package PO Plan'!$B:$B,A25,'Package PO Plan'!$F:$F)+SUMIF('Commercial Events'!$B:$B,A25,'Commercial Events'!$K:$K)</f>
        <v>0</v>
      </c>
      <c r="E25" s="8">
        <f>SUMIF(Ledger!$B:$B,A25,Ledger!$H:$H)</f>
        <v>0</v>
      </c>
      <c r="F25" s="7">
        <f t="shared" si="0"/>
        <v>7500</v>
      </c>
      <c r="G25" s="7">
        <f t="shared" si="1"/>
        <v>0</v>
      </c>
      <c r="H25" t="s">
        <v>975</v>
      </c>
    </row>
    <row r="26" spans="1:8">
      <c r="A26" t="s">
        <v>126</v>
      </c>
      <c r="B26" t="s">
        <v>127</v>
      </c>
      <c r="C26" s="6">
        <v>48000</v>
      </c>
      <c r="D26" s="8">
        <f>SUMIF('Package PO Plan'!$B:$B,A26,'Package PO Plan'!$F:$F)+SUMIF('Commercial Events'!$B:$B,A26,'Commercial Events'!$K:$K)</f>
        <v>0</v>
      </c>
      <c r="E26" s="8">
        <f>SUMIF(Ledger!$B:$B,A26,Ledger!$H:$H)</f>
        <v>26000</v>
      </c>
      <c r="F26" s="7">
        <f t="shared" si="0"/>
        <v>48000</v>
      </c>
      <c r="G26" s="7">
        <f t="shared" si="1"/>
        <v>0</v>
      </c>
      <c r="H26" t="s">
        <v>975</v>
      </c>
    </row>
    <row r="27" spans="1:8">
      <c r="A27" t="s">
        <v>131</v>
      </c>
      <c r="B27" t="s">
        <v>132</v>
      </c>
      <c r="C27" s="6">
        <v>12500</v>
      </c>
      <c r="D27" s="8">
        <f>SUMIF('Package PO Plan'!$B:$B,A27,'Package PO Plan'!$F:$F)+SUMIF('Commercial Events'!$B:$B,A27,'Commercial Events'!$K:$K)</f>
        <v>0</v>
      </c>
      <c r="E27" s="8">
        <f>SUMIF(Ledger!$B:$B,A27,Ledger!$H:$H)</f>
        <v>0</v>
      </c>
      <c r="F27" s="7">
        <f t="shared" si="0"/>
        <v>12500</v>
      </c>
      <c r="G27" s="7">
        <f t="shared" si="1"/>
        <v>0</v>
      </c>
      <c r="H27" t="s">
        <v>975</v>
      </c>
    </row>
    <row r="28" spans="1:8">
      <c r="A28" t="s">
        <v>133</v>
      </c>
      <c r="B28" t="s">
        <v>136</v>
      </c>
      <c r="C28" s="6">
        <v>95000</v>
      </c>
      <c r="D28" s="8">
        <f>SUMIF('Package PO Plan'!$B:$B,A28,'Package PO Plan'!$F:$F)+SUMIF('Commercial Events'!$B:$B,A28,'Commercial Events'!$K:$K)</f>
        <v>0</v>
      </c>
      <c r="E28" s="8">
        <f>SUMIF(Ledger!$B:$B,A28,Ledger!$H:$H)</f>
        <v>42000</v>
      </c>
      <c r="F28" s="7">
        <f t="shared" si="0"/>
        <v>95000</v>
      </c>
      <c r="G28" s="7">
        <f t="shared" si="1"/>
        <v>0</v>
      </c>
      <c r="H28" t="s">
        <v>975</v>
      </c>
    </row>
    <row r="29" spans="1:8">
      <c r="A29" t="s">
        <v>137</v>
      </c>
      <c r="B29" t="s">
        <v>138</v>
      </c>
      <c r="C29" s="6">
        <v>55000</v>
      </c>
      <c r="D29" s="8">
        <f>SUMIF('Package PO Plan'!$B:$B,A29,'Package PO Plan'!$F:$F)+SUMIF('Commercial Events'!$B:$B,A29,'Commercial Events'!$K:$K)</f>
        <v>0</v>
      </c>
      <c r="E29" s="8">
        <f>SUMIF(Ledger!$B:$B,A29,Ledger!$H:$H)</f>
        <v>24000</v>
      </c>
      <c r="F29" s="7">
        <f t="shared" si="0"/>
        <v>55000</v>
      </c>
      <c r="G29" s="7">
        <f t="shared" si="1"/>
        <v>0</v>
      </c>
      <c r="H29" t="s">
        <v>975</v>
      </c>
    </row>
    <row r="30" spans="1:8">
      <c r="A30" t="s">
        <v>139</v>
      </c>
      <c r="B30" t="s">
        <v>140</v>
      </c>
      <c r="C30" s="6">
        <v>12000</v>
      </c>
      <c r="D30" s="8">
        <f>SUMIF('Package PO Plan'!$B:$B,A30,'Package PO Plan'!$F:$F)+SUMIF('Commercial Events'!$B:$B,A30,'Commercial Events'!$K:$K)</f>
        <v>0</v>
      </c>
      <c r="E30" s="8">
        <f>SUMIF(Ledger!$B:$B,A30,Ledger!$H:$H)</f>
        <v>0</v>
      </c>
      <c r="F30" s="7">
        <f t="shared" si="0"/>
        <v>12000</v>
      </c>
      <c r="G30" s="7">
        <f t="shared" si="1"/>
        <v>0</v>
      </c>
      <c r="H30" t="s">
        <v>975</v>
      </c>
    </row>
    <row r="31" spans="1:8">
      <c r="A31" t="s">
        <v>143</v>
      </c>
      <c r="B31" t="s">
        <v>144</v>
      </c>
      <c r="C31" s="6">
        <v>18000</v>
      </c>
      <c r="D31" s="8">
        <f>SUMIF('Package PO Plan'!$B:$B,A31,'Package PO Plan'!$F:$F)+SUMIF('Commercial Events'!$B:$B,A31,'Commercial Events'!$K:$K)</f>
        <v>0</v>
      </c>
      <c r="E31" s="8">
        <f>SUMIF(Ledger!$B:$B,A31,Ledger!$H:$H)</f>
        <v>0</v>
      </c>
      <c r="F31" s="7">
        <f t="shared" si="0"/>
        <v>18000</v>
      </c>
      <c r="G31" s="7">
        <f t="shared" si="1"/>
        <v>0</v>
      </c>
      <c r="H31" t="s">
        <v>975</v>
      </c>
    </row>
    <row r="32" spans="1:8">
      <c r="A32" t="s">
        <v>145</v>
      </c>
      <c r="B32" t="s">
        <v>146</v>
      </c>
      <c r="C32" s="6">
        <v>9000</v>
      </c>
      <c r="D32" s="8">
        <f>SUMIF('Package PO Plan'!$B:$B,A32,'Package PO Plan'!$F:$F)+SUMIF('Commercial Events'!$B:$B,A32,'Commercial Events'!$K:$K)</f>
        <v>0</v>
      </c>
      <c r="E32" s="8">
        <f>SUMIF(Ledger!$B:$B,A32,Ledger!$H:$H)</f>
        <v>0</v>
      </c>
      <c r="F32" s="7">
        <f t="shared" si="0"/>
        <v>9000</v>
      </c>
      <c r="G32" s="7">
        <f t="shared" si="1"/>
        <v>0</v>
      </c>
      <c r="H32" t="s">
        <v>975</v>
      </c>
    </row>
    <row r="33" spans="1:8">
      <c r="A33" t="s">
        <v>149</v>
      </c>
      <c r="B33" t="s">
        <v>151</v>
      </c>
      <c r="C33" s="6">
        <v>36000</v>
      </c>
      <c r="D33" s="8">
        <f>SUMIF('Package PO Plan'!$B:$B,A33,'Package PO Plan'!$F:$F)+SUMIF('Commercial Events'!$B:$B,A33,'Commercial Events'!$K:$K)</f>
        <v>0</v>
      </c>
      <c r="E33" s="8">
        <f>SUMIF(Ledger!$B:$B,A33,Ledger!$H:$H)</f>
        <v>12000</v>
      </c>
      <c r="F33" s="7">
        <f t="shared" si="0"/>
        <v>36000</v>
      </c>
      <c r="G33" s="7">
        <f t="shared" si="1"/>
        <v>0</v>
      </c>
      <c r="H33" t="s">
        <v>975</v>
      </c>
    </row>
    <row r="34" spans="1:8">
      <c r="A34" t="s">
        <v>154</v>
      </c>
      <c r="B34" t="s">
        <v>155</v>
      </c>
      <c r="C34" s="6">
        <v>30000</v>
      </c>
      <c r="D34" s="8">
        <f>SUMIF('Package PO Plan'!$B:$B,A34,'Package PO Plan'!$F:$F)+SUMIF('Commercial Events'!$B:$B,A34,'Commercial Events'!$K:$K)</f>
        <v>0</v>
      </c>
      <c r="E34" s="8">
        <f>SUMIF(Ledger!$B:$B,A34,Ledger!$H:$H)</f>
        <v>10000</v>
      </c>
      <c r="F34" s="7">
        <f t="shared" si="0"/>
        <v>30000</v>
      </c>
      <c r="G34" s="7">
        <f t="shared" si="1"/>
        <v>0</v>
      </c>
      <c r="H34" t="s">
        <v>975</v>
      </c>
    </row>
    <row r="35" spans="1:8">
      <c r="A35" t="s">
        <v>158</v>
      </c>
      <c r="B35" t="s">
        <v>160</v>
      </c>
      <c r="C35" s="6">
        <v>20000</v>
      </c>
      <c r="D35" s="8">
        <f>SUMIF('Package PO Plan'!$B:$B,A35,'Package PO Plan'!$F:$F)+SUMIF('Commercial Events'!$B:$B,A35,'Commercial Events'!$K:$K)</f>
        <v>0</v>
      </c>
      <c r="E35" s="8">
        <f>SUMIF(Ledger!$B:$B,A35,Ledger!$H:$H)</f>
        <v>0</v>
      </c>
      <c r="F35" s="7">
        <f t="shared" si="0"/>
        <v>20000</v>
      </c>
      <c r="G35" s="7">
        <f t="shared" si="1"/>
        <v>0</v>
      </c>
      <c r="H35" t="s">
        <v>975</v>
      </c>
    </row>
    <row r="36" spans="1:8">
      <c r="A36" t="s">
        <v>161</v>
      </c>
      <c r="B36" t="s">
        <v>163</v>
      </c>
      <c r="C36" s="6">
        <v>34000</v>
      </c>
      <c r="D36" s="8">
        <f>SUMIF('Package PO Plan'!$B:$B,A36,'Package PO Plan'!$F:$F)+SUMIF('Commercial Events'!$B:$B,A36,'Commercial Events'!$K:$K)</f>
        <v>0</v>
      </c>
      <c r="E36" s="8">
        <f>SUMIF(Ledger!$B:$B,A36,Ledger!$H:$H)</f>
        <v>14000</v>
      </c>
      <c r="F36" s="7">
        <f t="shared" si="0"/>
        <v>34000</v>
      </c>
      <c r="G36" s="7">
        <f t="shared" ref="G36:G67" si="2">C36-F36</f>
        <v>0</v>
      </c>
      <c r="H36" t="s">
        <v>975</v>
      </c>
    </row>
    <row r="37" spans="1:8">
      <c r="A37" t="s">
        <v>166</v>
      </c>
      <c r="B37" t="s">
        <v>167</v>
      </c>
      <c r="C37" s="6">
        <v>28000</v>
      </c>
      <c r="D37" s="8">
        <f>SUMIF('Package PO Plan'!$B:$B,A37,'Package PO Plan'!$F:$F)+SUMIF('Commercial Events'!$B:$B,A37,'Commercial Events'!$K:$K)</f>
        <v>0</v>
      </c>
      <c r="E37" s="8">
        <f>SUMIF(Ledger!$B:$B,A37,Ledger!$H:$H)</f>
        <v>10000</v>
      </c>
      <c r="F37" s="7">
        <f t="shared" si="0"/>
        <v>28000</v>
      </c>
      <c r="G37" s="7">
        <f t="shared" si="2"/>
        <v>0</v>
      </c>
      <c r="H37" t="s">
        <v>975</v>
      </c>
    </row>
    <row r="38" spans="1:8">
      <c r="A38" t="s">
        <v>168</v>
      </c>
      <c r="B38" t="s">
        <v>169</v>
      </c>
      <c r="C38" s="6">
        <v>18000</v>
      </c>
      <c r="D38" s="8">
        <f>SUMIF('Package PO Plan'!$B:$B,A38,'Package PO Plan'!$F:$F)+SUMIF('Commercial Events'!$B:$B,A38,'Commercial Events'!$K:$K)</f>
        <v>0</v>
      </c>
      <c r="E38" s="8">
        <f>SUMIF(Ledger!$B:$B,A38,Ledger!$H:$H)</f>
        <v>0</v>
      </c>
      <c r="F38" s="7">
        <f t="shared" si="0"/>
        <v>18000</v>
      </c>
      <c r="G38" s="7">
        <f t="shared" si="2"/>
        <v>0</v>
      </c>
      <c r="H38" t="s">
        <v>975</v>
      </c>
    </row>
    <row r="39" spans="1:8">
      <c r="A39" t="s">
        <v>170</v>
      </c>
      <c r="B39" t="s">
        <v>171</v>
      </c>
      <c r="C39" s="6">
        <v>10000</v>
      </c>
      <c r="D39" s="8">
        <f>SUMIF('Package PO Plan'!$B:$B,A39,'Package PO Plan'!$F:$F)+SUMIF('Commercial Events'!$B:$B,A39,'Commercial Events'!$K:$K)</f>
        <v>0</v>
      </c>
      <c r="E39" s="8">
        <f>SUMIF(Ledger!$B:$B,A39,Ledger!$H:$H)</f>
        <v>0</v>
      </c>
      <c r="F39" s="7">
        <f t="shared" si="0"/>
        <v>10000</v>
      </c>
      <c r="G39" s="7">
        <f t="shared" si="2"/>
        <v>0</v>
      </c>
      <c r="H39" t="s">
        <v>975</v>
      </c>
    </row>
    <row r="40" spans="1:8">
      <c r="A40" t="s">
        <v>174</v>
      </c>
      <c r="B40" t="s">
        <v>176</v>
      </c>
      <c r="C40" s="6">
        <v>22000</v>
      </c>
      <c r="D40" s="8">
        <f>SUMIF('Package PO Plan'!$B:$B,A40,'Package PO Plan'!$F:$F)+SUMIF('Commercial Events'!$B:$B,A40,'Commercial Events'!$K:$K)</f>
        <v>0</v>
      </c>
      <c r="E40" s="8">
        <f>SUMIF(Ledger!$B:$B,A40,Ledger!$H:$H)</f>
        <v>9000</v>
      </c>
      <c r="F40" s="7">
        <f t="shared" si="0"/>
        <v>22000</v>
      </c>
      <c r="G40" s="7">
        <f t="shared" si="2"/>
        <v>0</v>
      </c>
      <c r="H40" t="s">
        <v>975</v>
      </c>
    </row>
    <row r="41" spans="1:8">
      <c r="A41" t="s">
        <v>179</v>
      </c>
      <c r="B41" t="s">
        <v>181</v>
      </c>
      <c r="C41" s="6">
        <v>18000</v>
      </c>
      <c r="D41" s="8">
        <f>SUMIF('Package PO Plan'!$B:$B,A41,'Package PO Plan'!$F:$F)+SUMIF('Commercial Events'!$B:$B,A41,'Commercial Events'!$K:$K)</f>
        <v>0</v>
      </c>
      <c r="E41" s="8">
        <f>SUMIF(Ledger!$B:$B,A41,Ledger!$H:$H)</f>
        <v>7000</v>
      </c>
      <c r="F41" s="7">
        <f t="shared" si="0"/>
        <v>18000</v>
      </c>
      <c r="G41" s="7">
        <f t="shared" si="2"/>
        <v>0</v>
      </c>
      <c r="H41" t="s">
        <v>975</v>
      </c>
    </row>
    <row r="42" spans="1:8">
      <c r="A42" t="s">
        <v>182</v>
      </c>
      <c r="B42" t="s">
        <v>183</v>
      </c>
      <c r="C42" s="6">
        <v>7500</v>
      </c>
      <c r="D42" s="8">
        <f>SUMIF('Package PO Plan'!$B:$B,A42,'Package PO Plan'!$F:$F)+SUMIF('Commercial Events'!$B:$B,A42,'Commercial Events'!$K:$K)</f>
        <v>0</v>
      </c>
      <c r="E42" s="8">
        <f>SUMIF(Ledger!$B:$B,A42,Ledger!$H:$H)</f>
        <v>2500</v>
      </c>
      <c r="F42" s="7">
        <f t="shared" si="0"/>
        <v>7500</v>
      </c>
      <c r="G42" s="7">
        <f t="shared" si="2"/>
        <v>0</v>
      </c>
      <c r="H42" t="s">
        <v>975</v>
      </c>
    </row>
    <row r="43" spans="1:8">
      <c r="A43" t="s">
        <v>188</v>
      </c>
      <c r="B43" t="s">
        <v>189</v>
      </c>
      <c r="C43" s="6">
        <v>8000</v>
      </c>
      <c r="D43" s="8">
        <f>SUMIF('Package PO Plan'!$B:$B,A43,'Package PO Plan'!$F:$F)+SUMIF('Commercial Events'!$B:$B,A43,'Commercial Events'!$K:$K)</f>
        <v>0</v>
      </c>
      <c r="E43" s="8">
        <f>SUMIF(Ledger!$B:$B,A43,Ledger!$H:$H)</f>
        <v>0</v>
      </c>
      <c r="F43" s="7">
        <f t="shared" si="0"/>
        <v>8000</v>
      </c>
      <c r="G43" s="7">
        <f t="shared" si="2"/>
        <v>0</v>
      </c>
      <c r="H43" t="s">
        <v>975</v>
      </c>
    </row>
    <row r="44" spans="1:8">
      <c r="A44" t="s">
        <v>190</v>
      </c>
      <c r="B44" t="s">
        <v>191</v>
      </c>
      <c r="C44" s="6">
        <v>15000</v>
      </c>
      <c r="D44" s="8">
        <f>SUMIF('Package PO Plan'!$B:$B,A44,'Package PO Plan'!$F:$F)+SUMIF('Commercial Events'!$B:$B,A44,'Commercial Events'!$K:$K)</f>
        <v>0</v>
      </c>
      <c r="E44" s="8">
        <f>SUMIF(Ledger!$B:$B,A44,Ledger!$H:$H)</f>
        <v>0</v>
      </c>
      <c r="F44" s="7">
        <f t="shared" si="0"/>
        <v>15000</v>
      </c>
      <c r="G44" s="7">
        <f t="shared" si="2"/>
        <v>0</v>
      </c>
      <c r="H44" t="s">
        <v>975</v>
      </c>
    </row>
    <row r="45" spans="1:8">
      <c r="A45" t="s">
        <v>194</v>
      </c>
      <c r="B45" t="s">
        <v>195</v>
      </c>
      <c r="C45" s="6">
        <v>12000</v>
      </c>
      <c r="D45" s="8">
        <f>SUMIF('Package PO Plan'!$B:$B,A45,'Package PO Plan'!$F:$F)+SUMIF('Commercial Events'!$B:$B,A45,'Commercial Events'!$K:$K)</f>
        <v>0</v>
      </c>
      <c r="E45" s="8">
        <f>SUMIF(Ledger!$B:$B,A45,Ledger!$H:$H)</f>
        <v>4000</v>
      </c>
      <c r="F45" s="7">
        <f t="shared" si="0"/>
        <v>12000</v>
      </c>
      <c r="G45" s="7">
        <f t="shared" si="2"/>
        <v>0</v>
      </c>
      <c r="H45" t="s">
        <v>975</v>
      </c>
    </row>
    <row r="46" spans="1:8">
      <c r="A46" t="s">
        <v>202</v>
      </c>
      <c r="B46" t="s">
        <v>203</v>
      </c>
      <c r="C46" s="6">
        <v>10000</v>
      </c>
      <c r="D46" s="8">
        <f>SUMIF('Package PO Plan'!$B:$B,A46,'Package PO Plan'!$F:$F)+SUMIF('Commercial Events'!$B:$B,A46,'Commercial Events'!$K:$K)</f>
        <v>0</v>
      </c>
      <c r="E46" s="8">
        <f>SUMIF(Ledger!$B:$B,A46,Ledger!$H:$H)</f>
        <v>0</v>
      </c>
      <c r="F46" s="7">
        <f t="shared" si="0"/>
        <v>10000</v>
      </c>
      <c r="G46" s="7">
        <f t="shared" si="2"/>
        <v>0</v>
      </c>
      <c r="H46" t="s">
        <v>975</v>
      </c>
    </row>
    <row r="47" spans="1:8">
      <c r="A47" t="s">
        <v>206</v>
      </c>
      <c r="B47" t="s">
        <v>207</v>
      </c>
      <c r="C47" s="6">
        <v>14000</v>
      </c>
      <c r="D47" s="8">
        <f>SUMIF('Package PO Plan'!$B:$B,A47,'Package PO Plan'!$F:$F)+SUMIF('Commercial Events'!$B:$B,A47,'Commercial Events'!$K:$K)</f>
        <v>0</v>
      </c>
      <c r="E47" s="8">
        <f>SUMIF(Ledger!$B:$B,A47,Ledger!$H:$H)</f>
        <v>0</v>
      </c>
      <c r="F47" s="7">
        <f t="shared" si="0"/>
        <v>14000</v>
      </c>
      <c r="G47" s="7">
        <f t="shared" si="2"/>
        <v>0</v>
      </c>
      <c r="H47" t="s">
        <v>975</v>
      </c>
    </row>
    <row r="48" spans="1:8">
      <c r="A48" t="s">
        <v>208</v>
      </c>
      <c r="B48" t="s">
        <v>209</v>
      </c>
      <c r="C48" s="6">
        <v>15000</v>
      </c>
      <c r="D48" s="8">
        <f>SUMIF('Package PO Plan'!$B:$B,A48,'Package PO Plan'!$F:$F)+SUMIF('Commercial Events'!$B:$B,A48,'Commercial Events'!$K:$K)</f>
        <v>0</v>
      </c>
      <c r="E48" s="8">
        <f>SUMIF(Ledger!$B:$B,A48,Ledger!$H:$H)</f>
        <v>5000</v>
      </c>
      <c r="F48" s="7">
        <f t="shared" si="0"/>
        <v>15000</v>
      </c>
      <c r="G48" s="7">
        <f t="shared" si="2"/>
        <v>0</v>
      </c>
      <c r="H48" t="s">
        <v>975</v>
      </c>
    </row>
    <row r="49" spans="1:8">
      <c r="A49" t="s">
        <v>212</v>
      </c>
      <c r="B49" t="s">
        <v>214</v>
      </c>
      <c r="C49" s="6">
        <v>30000</v>
      </c>
      <c r="D49" s="8">
        <f>SUMIF('Package PO Plan'!$B:$B,A49,'Package PO Plan'!$F:$F)+SUMIF('Commercial Events'!$B:$B,A49,'Commercial Events'!$K:$K)</f>
        <v>0</v>
      </c>
      <c r="E49" s="8">
        <f>SUMIF(Ledger!$B:$B,A49,Ledger!$H:$H)</f>
        <v>0</v>
      </c>
      <c r="F49" s="6">
        <v>20000</v>
      </c>
      <c r="G49" s="7">
        <f t="shared" si="2"/>
        <v>10000</v>
      </c>
      <c r="H49" t="s">
        <v>512</v>
      </c>
    </row>
    <row r="50" spans="1:8">
      <c r="A50" t="s">
        <v>215</v>
      </c>
      <c r="B50" t="s">
        <v>217</v>
      </c>
      <c r="C50" s="6">
        <v>120000</v>
      </c>
      <c r="D50" s="8">
        <f>SUMIF('Package PO Plan'!$B:$B,A50,'Package PO Plan'!$F:$F)+SUMIF('Commercial Events'!$B:$B,A50,'Commercial Events'!$K:$K)</f>
        <v>150000</v>
      </c>
      <c r="E50" s="8">
        <f>SUMIF(Ledger!$B:$B,A50,Ledger!$H:$H)</f>
        <v>112000</v>
      </c>
      <c r="F50" s="6">
        <v>155000</v>
      </c>
      <c r="G50" s="7">
        <f t="shared" si="2"/>
        <v>-35000</v>
      </c>
      <c r="H50" t="s">
        <v>513</v>
      </c>
    </row>
    <row r="51" spans="1:8">
      <c r="A51" t="s">
        <v>218</v>
      </c>
      <c r="B51" t="s">
        <v>219</v>
      </c>
      <c r="C51" s="6">
        <v>35000</v>
      </c>
      <c r="D51" s="8">
        <f>SUMIF('Package PO Plan'!$B:$B,A51,'Package PO Plan'!$F:$F)+SUMIF('Commercial Events'!$B:$B,A51,'Commercial Events'!$K:$K)</f>
        <v>0</v>
      </c>
      <c r="E51" s="8">
        <f>SUMIF(Ledger!$B:$B,A51,Ledger!$H:$H)</f>
        <v>18000</v>
      </c>
      <c r="F51" s="7">
        <f t="shared" ref="F51:F81" si="3">MAX(C51,D51,E51)</f>
        <v>35000</v>
      </c>
      <c r="G51" s="7">
        <f t="shared" si="2"/>
        <v>0</v>
      </c>
      <c r="H51" t="s">
        <v>975</v>
      </c>
    </row>
    <row r="52" spans="1:8">
      <c r="A52" t="s">
        <v>220</v>
      </c>
      <c r="B52" t="s">
        <v>221</v>
      </c>
      <c r="C52" s="6">
        <v>55000</v>
      </c>
      <c r="D52" s="8">
        <f>SUMIF('Package PO Plan'!$B:$B,A52,'Package PO Plan'!$F:$F)+SUMIF('Commercial Events'!$B:$B,A52,'Commercial Events'!$K:$K)</f>
        <v>0</v>
      </c>
      <c r="E52" s="8">
        <f>SUMIF(Ledger!$B:$B,A52,Ledger!$H:$H)</f>
        <v>18000</v>
      </c>
      <c r="F52" s="7">
        <f t="shared" si="3"/>
        <v>55000</v>
      </c>
      <c r="G52" s="7">
        <f t="shared" si="2"/>
        <v>0</v>
      </c>
      <c r="H52" t="s">
        <v>975</v>
      </c>
    </row>
    <row r="53" spans="1:8">
      <c r="A53" t="s">
        <v>228</v>
      </c>
      <c r="B53" t="s">
        <v>229</v>
      </c>
      <c r="C53" s="6">
        <v>20000</v>
      </c>
      <c r="D53" s="8">
        <f>SUMIF('Package PO Plan'!$B:$B,A53,'Package PO Plan'!$F:$F)+SUMIF('Commercial Events'!$B:$B,A53,'Commercial Events'!$K:$K)</f>
        <v>0</v>
      </c>
      <c r="E53" s="8">
        <f>SUMIF(Ledger!$B:$B,A53,Ledger!$H:$H)</f>
        <v>0</v>
      </c>
      <c r="F53" s="7">
        <f t="shared" si="3"/>
        <v>20000</v>
      </c>
      <c r="G53" s="7">
        <f t="shared" si="2"/>
        <v>0</v>
      </c>
      <c r="H53" t="s">
        <v>975</v>
      </c>
    </row>
    <row r="54" spans="1:8">
      <c r="A54" t="s">
        <v>230</v>
      </c>
      <c r="B54" t="s">
        <v>231</v>
      </c>
      <c r="C54" s="6">
        <v>55000</v>
      </c>
      <c r="D54" s="8">
        <f>SUMIF('Package PO Plan'!$B:$B,A54,'Package PO Plan'!$F:$F)+SUMIF('Commercial Events'!$B:$B,A54,'Commercial Events'!$K:$K)</f>
        <v>0</v>
      </c>
      <c r="E54" s="8">
        <f>SUMIF(Ledger!$B:$B,A54,Ledger!$H:$H)</f>
        <v>22000</v>
      </c>
      <c r="F54" s="7">
        <f t="shared" si="3"/>
        <v>55000</v>
      </c>
      <c r="G54" s="7">
        <f t="shared" si="2"/>
        <v>0</v>
      </c>
      <c r="H54" t="s">
        <v>975</v>
      </c>
    </row>
    <row r="55" spans="1:8">
      <c r="A55" t="s">
        <v>234</v>
      </c>
      <c r="B55" t="s">
        <v>235</v>
      </c>
      <c r="C55" s="6">
        <v>35000</v>
      </c>
      <c r="D55" s="8">
        <f>SUMIF('Package PO Plan'!$B:$B,A55,'Package PO Plan'!$F:$F)+SUMIF('Commercial Events'!$B:$B,A55,'Commercial Events'!$K:$K)</f>
        <v>0</v>
      </c>
      <c r="E55" s="8">
        <f>SUMIF(Ledger!$B:$B,A55,Ledger!$H:$H)</f>
        <v>14000</v>
      </c>
      <c r="F55" s="7">
        <f t="shared" si="3"/>
        <v>35000</v>
      </c>
      <c r="G55" s="7">
        <f t="shared" si="2"/>
        <v>0</v>
      </c>
      <c r="H55" t="s">
        <v>975</v>
      </c>
    </row>
    <row r="56" spans="1:8">
      <c r="A56" t="s">
        <v>236</v>
      </c>
      <c r="B56" t="s">
        <v>237</v>
      </c>
      <c r="C56" s="6">
        <v>15000</v>
      </c>
      <c r="D56" s="8">
        <f>SUMIF('Package PO Plan'!$B:$B,A56,'Package PO Plan'!$F:$F)+SUMIF('Commercial Events'!$B:$B,A56,'Commercial Events'!$K:$K)</f>
        <v>0</v>
      </c>
      <c r="E56" s="8">
        <f>SUMIF(Ledger!$B:$B,A56,Ledger!$H:$H)</f>
        <v>0</v>
      </c>
      <c r="F56" s="7">
        <f t="shared" si="3"/>
        <v>15000</v>
      </c>
      <c r="G56" s="7">
        <f t="shared" si="2"/>
        <v>0</v>
      </c>
      <c r="H56" t="s">
        <v>975</v>
      </c>
    </row>
    <row r="57" spans="1:8">
      <c r="A57" t="s">
        <v>238</v>
      </c>
      <c r="B57" t="s">
        <v>239</v>
      </c>
      <c r="C57" s="6">
        <v>15000</v>
      </c>
      <c r="D57" s="8">
        <f>SUMIF('Package PO Plan'!$B:$B,A57,'Package PO Plan'!$F:$F)+SUMIF('Commercial Events'!$B:$B,A57,'Commercial Events'!$K:$K)</f>
        <v>0</v>
      </c>
      <c r="E57" s="8">
        <f>SUMIF(Ledger!$B:$B,A57,Ledger!$H:$H)</f>
        <v>0</v>
      </c>
      <c r="F57" s="7">
        <f t="shared" si="3"/>
        <v>15000</v>
      </c>
      <c r="G57" s="7">
        <f t="shared" si="2"/>
        <v>0</v>
      </c>
      <c r="H57" t="s">
        <v>975</v>
      </c>
    </row>
    <row r="58" spans="1:8">
      <c r="A58" t="s">
        <v>240</v>
      </c>
      <c r="B58" t="s">
        <v>241</v>
      </c>
      <c r="C58" s="6">
        <v>36000</v>
      </c>
      <c r="D58" s="8">
        <f>SUMIF('Package PO Plan'!$B:$B,A58,'Package PO Plan'!$F:$F)+SUMIF('Commercial Events'!$B:$B,A58,'Commercial Events'!$K:$K)</f>
        <v>0</v>
      </c>
      <c r="E58" s="8">
        <f>SUMIF(Ledger!$B:$B,A58,Ledger!$H:$H)</f>
        <v>0</v>
      </c>
      <c r="F58" s="7">
        <f t="shared" si="3"/>
        <v>36000</v>
      </c>
      <c r="G58" s="7">
        <f t="shared" si="2"/>
        <v>0</v>
      </c>
      <c r="H58" t="s">
        <v>975</v>
      </c>
    </row>
    <row r="59" spans="1:8">
      <c r="A59" t="s">
        <v>242</v>
      </c>
      <c r="B59" t="s">
        <v>243</v>
      </c>
      <c r="C59" s="6">
        <v>9000</v>
      </c>
      <c r="D59" s="8">
        <f>SUMIF('Package PO Plan'!$B:$B,A59,'Package PO Plan'!$F:$F)+SUMIF('Commercial Events'!$B:$B,A59,'Commercial Events'!$K:$K)</f>
        <v>0</v>
      </c>
      <c r="E59" s="8">
        <f>SUMIF(Ledger!$B:$B,A59,Ledger!$H:$H)</f>
        <v>0</v>
      </c>
      <c r="F59" s="7">
        <f t="shared" si="3"/>
        <v>9000</v>
      </c>
      <c r="G59" s="7">
        <f t="shared" si="2"/>
        <v>0</v>
      </c>
      <c r="H59" t="s">
        <v>975</v>
      </c>
    </row>
    <row r="60" spans="1:8">
      <c r="A60" t="s">
        <v>244</v>
      </c>
      <c r="B60" t="s">
        <v>245</v>
      </c>
      <c r="C60" s="6">
        <v>45000</v>
      </c>
      <c r="D60" s="8">
        <f>SUMIF('Package PO Plan'!$B:$B,A60,'Package PO Plan'!$F:$F)+SUMIF('Commercial Events'!$B:$B,A60,'Commercial Events'!$K:$K)</f>
        <v>0</v>
      </c>
      <c r="E60" s="8">
        <f>SUMIF(Ledger!$B:$B,A60,Ledger!$H:$H)</f>
        <v>0</v>
      </c>
      <c r="F60" s="7">
        <f t="shared" si="3"/>
        <v>45000</v>
      </c>
      <c r="G60" s="7">
        <f t="shared" si="2"/>
        <v>0</v>
      </c>
      <c r="H60" t="s">
        <v>975</v>
      </c>
    </row>
    <row r="61" spans="1:8">
      <c r="A61" t="s">
        <v>248</v>
      </c>
      <c r="B61" t="s">
        <v>249</v>
      </c>
      <c r="C61" s="6">
        <v>35000</v>
      </c>
      <c r="D61" s="8">
        <f>SUMIF('Package PO Plan'!$B:$B,A61,'Package PO Plan'!$F:$F)+SUMIF('Commercial Events'!$B:$B,A61,'Commercial Events'!$K:$K)</f>
        <v>0</v>
      </c>
      <c r="E61" s="8">
        <f>SUMIF(Ledger!$B:$B,A61,Ledger!$H:$H)</f>
        <v>0</v>
      </c>
      <c r="F61" s="7">
        <f t="shared" si="3"/>
        <v>35000</v>
      </c>
      <c r="G61" s="7">
        <f t="shared" si="2"/>
        <v>0</v>
      </c>
      <c r="H61" t="s">
        <v>975</v>
      </c>
    </row>
    <row r="62" spans="1:8">
      <c r="A62" t="s">
        <v>250</v>
      </c>
      <c r="B62" t="s">
        <v>251</v>
      </c>
      <c r="C62" s="6">
        <v>25000</v>
      </c>
      <c r="D62" s="8">
        <f>SUMIF('Package PO Plan'!$B:$B,A62,'Package PO Plan'!$F:$F)+SUMIF('Commercial Events'!$B:$B,A62,'Commercial Events'!$K:$K)</f>
        <v>0</v>
      </c>
      <c r="E62" s="8">
        <f>SUMIF(Ledger!$B:$B,A62,Ledger!$H:$H)</f>
        <v>0</v>
      </c>
      <c r="F62" s="7">
        <f t="shared" si="3"/>
        <v>25000</v>
      </c>
      <c r="G62" s="7">
        <f t="shared" si="2"/>
        <v>0</v>
      </c>
      <c r="H62" t="s">
        <v>975</v>
      </c>
    </row>
    <row r="63" spans="1:8">
      <c r="A63" t="s">
        <v>252</v>
      </c>
      <c r="B63" t="s">
        <v>255</v>
      </c>
      <c r="C63" s="6">
        <v>95000</v>
      </c>
      <c r="D63" s="8">
        <f>SUMIF('Package PO Plan'!$B:$B,A63,'Package PO Plan'!$F:$F)+SUMIF('Commercial Events'!$B:$B,A63,'Commercial Events'!$K:$K)</f>
        <v>90000</v>
      </c>
      <c r="E63" s="8">
        <f>SUMIF(Ledger!$B:$B,A63,Ledger!$H:$H)</f>
        <v>52000</v>
      </c>
      <c r="F63" s="7">
        <f t="shared" si="3"/>
        <v>95000</v>
      </c>
      <c r="G63" s="7">
        <f t="shared" si="2"/>
        <v>0</v>
      </c>
      <c r="H63" t="s">
        <v>975</v>
      </c>
    </row>
    <row r="64" spans="1:8">
      <c r="A64" t="s">
        <v>256</v>
      </c>
      <c r="B64" t="s">
        <v>257</v>
      </c>
      <c r="C64" s="6">
        <v>65000</v>
      </c>
      <c r="D64" s="8">
        <f>SUMIF('Package PO Plan'!$B:$B,A64,'Package PO Plan'!$F:$F)+SUMIF('Commercial Events'!$B:$B,A64,'Commercial Events'!$K:$K)</f>
        <v>0</v>
      </c>
      <c r="E64" s="8">
        <f>SUMIF(Ledger!$B:$B,A64,Ledger!$H:$H)</f>
        <v>44000</v>
      </c>
      <c r="F64" s="7">
        <f t="shared" si="3"/>
        <v>65000</v>
      </c>
      <c r="G64" s="7">
        <f t="shared" si="2"/>
        <v>0</v>
      </c>
      <c r="H64" t="s">
        <v>975</v>
      </c>
    </row>
    <row r="65" spans="1:8">
      <c r="A65" t="s">
        <v>258</v>
      </c>
      <c r="B65" t="s">
        <v>259</v>
      </c>
      <c r="C65" s="6">
        <v>165000</v>
      </c>
      <c r="D65" s="8">
        <f>SUMIF('Package PO Plan'!$B:$B,A65,'Package PO Plan'!$F:$F)+SUMIF('Commercial Events'!$B:$B,A65,'Commercial Events'!$K:$K)</f>
        <v>155000</v>
      </c>
      <c r="E65" s="8">
        <f>SUMIF(Ledger!$B:$B,A65,Ledger!$H:$H)</f>
        <v>96000</v>
      </c>
      <c r="F65" s="7">
        <f t="shared" si="3"/>
        <v>165000</v>
      </c>
      <c r="G65" s="7">
        <f t="shared" si="2"/>
        <v>0</v>
      </c>
      <c r="H65" t="s">
        <v>975</v>
      </c>
    </row>
    <row r="66" spans="1:8">
      <c r="A66" t="s">
        <v>260</v>
      </c>
      <c r="B66" t="s">
        <v>261</v>
      </c>
      <c r="C66" s="6">
        <v>42000</v>
      </c>
      <c r="D66" s="8">
        <f>SUMIF('Package PO Plan'!$B:$B,A66,'Package PO Plan'!$F:$F)+SUMIF('Commercial Events'!$B:$B,A66,'Commercial Events'!$K:$K)</f>
        <v>0</v>
      </c>
      <c r="E66" s="8">
        <f>SUMIF(Ledger!$B:$B,A66,Ledger!$H:$H)</f>
        <v>0</v>
      </c>
      <c r="F66" s="7">
        <f t="shared" si="3"/>
        <v>42000</v>
      </c>
      <c r="G66" s="7">
        <f t="shared" si="2"/>
        <v>0</v>
      </c>
      <c r="H66" t="s">
        <v>975</v>
      </c>
    </row>
    <row r="67" spans="1:8">
      <c r="A67" t="s">
        <v>262</v>
      </c>
      <c r="B67" t="s">
        <v>263</v>
      </c>
      <c r="C67" s="6">
        <v>70000</v>
      </c>
      <c r="D67" s="8">
        <f>SUMIF('Package PO Plan'!$B:$B,A67,'Package PO Plan'!$F:$F)+SUMIF('Commercial Events'!$B:$B,A67,'Commercial Events'!$K:$K)</f>
        <v>0</v>
      </c>
      <c r="E67" s="8">
        <f>SUMIF(Ledger!$B:$B,A67,Ledger!$H:$H)</f>
        <v>24000</v>
      </c>
      <c r="F67" s="7">
        <f t="shared" si="3"/>
        <v>70000</v>
      </c>
      <c r="G67" s="7">
        <f t="shared" si="2"/>
        <v>0</v>
      </c>
      <c r="H67" t="s">
        <v>975</v>
      </c>
    </row>
    <row r="68" spans="1:8">
      <c r="A68" t="s">
        <v>264</v>
      </c>
      <c r="B68" t="s">
        <v>265</v>
      </c>
      <c r="C68" s="6">
        <v>62000</v>
      </c>
      <c r="D68" s="8">
        <f>SUMIF('Package PO Plan'!$B:$B,A68,'Package PO Plan'!$F:$F)+SUMIF('Commercial Events'!$B:$B,A68,'Commercial Events'!$K:$K)</f>
        <v>0</v>
      </c>
      <c r="E68" s="8">
        <f>SUMIF(Ledger!$B:$B,A68,Ledger!$H:$H)</f>
        <v>0</v>
      </c>
      <c r="F68" s="7">
        <f t="shared" si="3"/>
        <v>62000</v>
      </c>
      <c r="G68" s="7">
        <f t="shared" ref="G68:G99" si="4">C68-F68</f>
        <v>0</v>
      </c>
      <c r="H68" t="s">
        <v>975</v>
      </c>
    </row>
    <row r="69" spans="1:8">
      <c r="A69" t="s">
        <v>266</v>
      </c>
      <c r="B69" t="s">
        <v>267</v>
      </c>
      <c r="C69" s="6">
        <v>25000</v>
      </c>
      <c r="D69" s="8">
        <f>SUMIF('Package PO Plan'!$B:$B,A69,'Package PO Plan'!$F:$F)+SUMIF('Commercial Events'!$B:$B,A69,'Commercial Events'!$K:$K)</f>
        <v>0</v>
      </c>
      <c r="E69" s="8">
        <f>SUMIF(Ledger!$B:$B,A69,Ledger!$H:$H)</f>
        <v>0</v>
      </c>
      <c r="F69" s="7">
        <f t="shared" si="3"/>
        <v>25000</v>
      </c>
      <c r="G69" s="7">
        <f t="shared" si="4"/>
        <v>0</v>
      </c>
      <c r="H69" t="s">
        <v>975</v>
      </c>
    </row>
    <row r="70" spans="1:8">
      <c r="A70" t="s">
        <v>268</v>
      </c>
      <c r="B70" t="s">
        <v>269</v>
      </c>
      <c r="C70" s="6">
        <v>22000</v>
      </c>
      <c r="D70" s="8">
        <f>SUMIF('Package PO Plan'!$B:$B,A70,'Package PO Plan'!$F:$F)+SUMIF('Commercial Events'!$B:$B,A70,'Commercial Events'!$K:$K)</f>
        <v>0</v>
      </c>
      <c r="E70" s="8">
        <f>SUMIF(Ledger!$B:$B,A70,Ledger!$H:$H)</f>
        <v>0</v>
      </c>
      <c r="F70" s="7">
        <f t="shared" si="3"/>
        <v>22000</v>
      </c>
      <c r="G70" s="7">
        <f t="shared" si="4"/>
        <v>0</v>
      </c>
      <c r="H70" t="s">
        <v>975</v>
      </c>
    </row>
    <row r="71" spans="1:8">
      <c r="A71" t="s">
        <v>270</v>
      </c>
      <c r="B71" t="s">
        <v>271</v>
      </c>
      <c r="C71" s="6">
        <v>28000</v>
      </c>
      <c r="D71" s="8">
        <f>SUMIF('Package PO Plan'!$B:$B,A71,'Package PO Plan'!$F:$F)+SUMIF('Commercial Events'!$B:$B,A71,'Commercial Events'!$K:$K)</f>
        <v>0</v>
      </c>
      <c r="E71" s="8">
        <f>SUMIF(Ledger!$B:$B,A71,Ledger!$H:$H)</f>
        <v>0</v>
      </c>
      <c r="F71" s="7">
        <f t="shared" si="3"/>
        <v>28000</v>
      </c>
      <c r="G71" s="7">
        <f t="shared" si="4"/>
        <v>0</v>
      </c>
      <c r="H71" t="s">
        <v>975</v>
      </c>
    </row>
    <row r="72" spans="1:8">
      <c r="A72" t="s">
        <v>272</v>
      </c>
      <c r="B72" t="s">
        <v>273</v>
      </c>
      <c r="C72" s="6">
        <v>45000</v>
      </c>
      <c r="D72" s="8">
        <f>SUMIF('Package PO Plan'!$B:$B,A72,'Package PO Plan'!$F:$F)+SUMIF('Commercial Events'!$B:$B,A72,'Commercial Events'!$K:$K)</f>
        <v>0</v>
      </c>
      <c r="E72" s="8">
        <f>SUMIF(Ledger!$B:$B,A72,Ledger!$H:$H)</f>
        <v>0</v>
      </c>
      <c r="F72" s="7">
        <f t="shared" si="3"/>
        <v>45000</v>
      </c>
      <c r="G72" s="7">
        <f t="shared" si="4"/>
        <v>0</v>
      </c>
      <c r="H72" t="s">
        <v>975</v>
      </c>
    </row>
    <row r="73" spans="1:8">
      <c r="A73" t="s">
        <v>274</v>
      </c>
      <c r="B73" t="s">
        <v>275</v>
      </c>
      <c r="C73" s="6">
        <v>62000</v>
      </c>
      <c r="D73" s="8">
        <f>SUMIF('Package PO Plan'!$B:$B,A73,'Package PO Plan'!$F:$F)+SUMIF('Commercial Events'!$B:$B,A73,'Commercial Events'!$K:$K)</f>
        <v>58000</v>
      </c>
      <c r="E73" s="8">
        <f>SUMIF(Ledger!$B:$B,A73,Ledger!$H:$H)</f>
        <v>15000</v>
      </c>
      <c r="F73" s="7">
        <f t="shared" si="3"/>
        <v>62000</v>
      </c>
      <c r="G73" s="7">
        <f t="shared" si="4"/>
        <v>0</v>
      </c>
      <c r="H73" t="s">
        <v>975</v>
      </c>
    </row>
    <row r="74" spans="1:8">
      <c r="A74" t="s">
        <v>276</v>
      </c>
      <c r="B74" t="s">
        <v>277</v>
      </c>
      <c r="C74" s="6">
        <v>24000</v>
      </c>
      <c r="D74" s="8">
        <f>SUMIF('Package PO Plan'!$B:$B,A74,'Package PO Plan'!$F:$F)+SUMIF('Commercial Events'!$B:$B,A74,'Commercial Events'!$K:$K)</f>
        <v>0</v>
      </c>
      <c r="E74" s="8">
        <f>SUMIF(Ledger!$B:$B,A74,Ledger!$H:$H)</f>
        <v>0</v>
      </c>
      <c r="F74" s="7">
        <f t="shared" si="3"/>
        <v>24000</v>
      </c>
      <c r="G74" s="7">
        <f t="shared" si="4"/>
        <v>0</v>
      </c>
      <c r="H74" t="s">
        <v>975</v>
      </c>
    </row>
    <row r="75" spans="1:8">
      <c r="A75" t="s">
        <v>278</v>
      </c>
      <c r="B75" t="s">
        <v>279</v>
      </c>
      <c r="C75" s="6">
        <v>30000</v>
      </c>
      <c r="D75" s="8">
        <f>SUMIF('Package PO Plan'!$B:$B,A75,'Package PO Plan'!$F:$F)+SUMIF('Commercial Events'!$B:$B,A75,'Commercial Events'!$K:$K)</f>
        <v>0</v>
      </c>
      <c r="E75" s="8">
        <f>SUMIF(Ledger!$B:$B,A75,Ledger!$H:$H)</f>
        <v>0</v>
      </c>
      <c r="F75" s="7">
        <f t="shared" si="3"/>
        <v>30000</v>
      </c>
      <c r="G75" s="7">
        <f t="shared" si="4"/>
        <v>0</v>
      </c>
      <c r="H75" t="s">
        <v>975</v>
      </c>
    </row>
    <row r="76" spans="1:8">
      <c r="A76" t="s">
        <v>280</v>
      </c>
      <c r="B76" t="s">
        <v>281</v>
      </c>
      <c r="C76" s="6">
        <v>32000</v>
      </c>
      <c r="D76" s="8">
        <f>SUMIF('Package PO Plan'!$B:$B,A76,'Package PO Plan'!$F:$F)+SUMIF('Commercial Events'!$B:$B,A76,'Commercial Events'!$K:$K)</f>
        <v>0</v>
      </c>
      <c r="E76" s="8">
        <f>SUMIF(Ledger!$B:$B,A76,Ledger!$H:$H)</f>
        <v>0</v>
      </c>
      <c r="F76" s="7">
        <f t="shared" si="3"/>
        <v>32000</v>
      </c>
      <c r="G76" s="7">
        <f t="shared" si="4"/>
        <v>0</v>
      </c>
      <c r="H76" t="s">
        <v>975</v>
      </c>
    </row>
    <row r="77" spans="1:8">
      <c r="A77" t="s">
        <v>284</v>
      </c>
      <c r="B77" t="s">
        <v>285</v>
      </c>
      <c r="C77" s="6">
        <v>48000</v>
      </c>
      <c r="D77" s="8">
        <f>SUMIF('Package PO Plan'!$B:$B,A77,'Package PO Plan'!$F:$F)+SUMIF('Commercial Events'!$B:$B,A77,'Commercial Events'!$K:$K)</f>
        <v>40000</v>
      </c>
      <c r="E77" s="8">
        <f>SUMIF(Ledger!$B:$B,A77,Ledger!$H:$H)</f>
        <v>0</v>
      </c>
      <c r="F77" s="7">
        <f t="shared" si="3"/>
        <v>48000</v>
      </c>
      <c r="G77" s="7">
        <f t="shared" si="4"/>
        <v>0</v>
      </c>
      <c r="H77" t="s">
        <v>975</v>
      </c>
    </row>
    <row r="78" spans="1:8">
      <c r="A78" t="s">
        <v>286</v>
      </c>
      <c r="B78" t="s">
        <v>287</v>
      </c>
      <c r="C78" s="6">
        <v>18000</v>
      </c>
      <c r="D78" s="8">
        <f>SUMIF('Package PO Plan'!$B:$B,A78,'Package PO Plan'!$F:$F)+SUMIF('Commercial Events'!$B:$B,A78,'Commercial Events'!$K:$K)</f>
        <v>0</v>
      </c>
      <c r="E78" s="8">
        <f>SUMIF(Ledger!$B:$B,A78,Ledger!$H:$H)</f>
        <v>0</v>
      </c>
      <c r="F78" s="7">
        <f t="shared" si="3"/>
        <v>18000</v>
      </c>
      <c r="G78" s="7">
        <f t="shared" si="4"/>
        <v>0</v>
      </c>
      <c r="H78" t="s">
        <v>975</v>
      </c>
    </row>
    <row r="79" spans="1:8">
      <c r="A79" t="s">
        <v>292</v>
      </c>
      <c r="B79" t="s">
        <v>293</v>
      </c>
      <c r="C79" s="6">
        <v>22000</v>
      </c>
      <c r="D79" s="8">
        <f>SUMIF('Package PO Plan'!$B:$B,A79,'Package PO Plan'!$F:$F)+SUMIF('Commercial Events'!$B:$B,A79,'Commercial Events'!$K:$K)</f>
        <v>0</v>
      </c>
      <c r="E79" s="8">
        <f>SUMIF(Ledger!$B:$B,A79,Ledger!$H:$H)</f>
        <v>0</v>
      </c>
      <c r="F79" s="7">
        <f t="shared" si="3"/>
        <v>22000</v>
      </c>
      <c r="G79" s="7">
        <f t="shared" si="4"/>
        <v>0</v>
      </c>
      <c r="H79" t="s">
        <v>975</v>
      </c>
    </row>
    <row r="80" spans="1:8">
      <c r="A80" t="s">
        <v>294</v>
      </c>
      <c r="B80" t="s">
        <v>296</v>
      </c>
      <c r="C80" s="6">
        <v>35000</v>
      </c>
      <c r="D80" s="8">
        <f>SUMIF('Package PO Plan'!$B:$B,A80,'Package PO Plan'!$F:$F)+SUMIF('Commercial Events'!$B:$B,A80,'Commercial Events'!$K:$K)</f>
        <v>0</v>
      </c>
      <c r="E80" s="8">
        <f>SUMIF(Ledger!$B:$B,A80,Ledger!$H:$H)</f>
        <v>0</v>
      </c>
      <c r="F80" s="7">
        <f t="shared" si="3"/>
        <v>35000</v>
      </c>
      <c r="G80" s="7">
        <f t="shared" si="4"/>
        <v>0</v>
      </c>
      <c r="H80" t="s">
        <v>975</v>
      </c>
    </row>
    <row r="81" spans="1:8">
      <c r="A81" t="s">
        <v>297</v>
      </c>
      <c r="B81" t="s">
        <v>298</v>
      </c>
      <c r="C81" s="6">
        <v>82000</v>
      </c>
      <c r="D81" s="8">
        <f>SUMIF('Package PO Plan'!$B:$B,A81,'Package PO Plan'!$F:$F)+SUMIF('Commercial Events'!$B:$B,A81,'Commercial Events'!$K:$K)</f>
        <v>78000</v>
      </c>
      <c r="E81" s="8">
        <f>SUMIF(Ledger!$B:$B,A81,Ledger!$H:$H)</f>
        <v>30000</v>
      </c>
      <c r="F81" s="7">
        <f t="shared" si="3"/>
        <v>82000</v>
      </c>
      <c r="G81" s="7">
        <f t="shared" si="4"/>
        <v>0</v>
      </c>
      <c r="H81" t="s">
        <v>975</v>
      </c>
    </row>
    <row r="82" spans="1:8">
      <c r="A82" t="s">
        <v>299</v>
      </c>
      <c r="B82" t="s">
        <v>300</v>
      </c>
      <c r="C82" s="6">
        <v>245000</v>
      </c>
      <c r="D82" s="8">
        <f>SUMIF('Package PO Plan'!$B:$B,A82,'Package PO Plan'!$F:$F)+SUMIF('Commercial Events'!$B:$B,A82,'Commercial Events'!$K:$K)</f>
        <v>240000</v>
      </c>
      <c r="E82" s="8">
        <f>SUMIF(Ledger!$B:$B,A82,Ledger!$H:$H)</f>
        <v>118000</v>
      </c>
      <c r="F82" s="6">
        <v>255000</v>
      </c>
      <c r="G82" s="7">
        <f t="shared" si="4"/>
        <v>-10000</v>
      </c>
      <c r="H82" t="s">
        <v>514</v>
      </c>
    </row>
    <row r="83" spans="1:8">
      <c r="A83" t="s">
        <v>301</v>
      </c>
      <c r="B83" t="s">
        <v>302</v>
      </c>
      <c r="C83" s="6">
        <v>180000</v>
      </c>
      <c r="D83" s="8">
        <f>SUMIF('Package PO Plan'!$B:$B,A83,'Package PO Plan'!$F:$F)+SUMIF('Commercial Events'!$B:$B,A83,'Commercial Events'!$K:$K)</f>
        <v>175000</v>
      </c>
      <c r="E83" s="8">
        <f>SUMIF(Ledger!$B:$B,A83,Ledger!$H:$H)</f>
        <v>82000</v>
      </c>
      <c r="F83" s="6">
        <v>175000</v>
      </c>
      <c r="G83" s="7">
        <f t="shared" si="4"/>
        <v>5000</v>
      </c>
      <c r="H83" t="s">
        <v>515</v>
      </c>
    </row>
    <row r="84" spans="1:8">
      <c r="A84" t="s">
        <v>303</v>
      </c>
      <c r="B84" t="s">
        <v>304</v>
      </c>
      <c r="C84" s="6">
        <v>24000</v>
      </c>
      <c r="D84" s="8">
        <f>SUMIF('Package PO Plan'!$B:$B,A84,'Package PO Plan'!$F:$F)+SUMIF('Commercial Events'!$B:$B,A84,'Commercial Events'!$K:$K)</f>
        <v>0</v>
      </c>
      <c r="E84" s="8">
        <f>SUMIF(Ledger!$B:$B,A84,Ledger!$H:$H)</f>
        <v>0</v>
      </c>
      <c r="F84" s="7">
        <f>MAX(C84,D84,E84)</f>
        <v>24000</v>
      </c>
      <c r="G84" s="7">
        <f t="shared" si="4"/>
        <v>0</v>
      </c>
      <c r="H84" t="s">
        <v>975</v>
      </c>
    </row>
    <row r="85" spans="1:8">
      <c r="A85" t="s">
        <v>305</v>
      </c>
      <c r="B85" t="s">
        <v>306</v>
      </c>
      <c r="C85" s="6">
        <v>48000</v>
      </c>
      <c r="D85" s="8">
        <f>SUMIF('Package PO Plan'!$B:$B,A85,'Package PO Plan'!$F:$F)+SUMIF('Commercial Events'!$B:$B,A85,'Commercial Events'!$K:$K)</f>
        <v>0</v>
      </c>
      <c r="E85" s="8">
        <f>SUMIF(Ledger!$B:$B,A85,Ledger!$H:$H)</f>
        <v>0</v>
      </c>
      <c r="F85" s="7">
        <f>MAX(C85,D85,E85)</f>
        <v>48000</v>
      </c>
      <c r="G85" s="7">
        <f t="shared" si="4"/>
        <v>0</v>
      </c>
      <c r="H85" t="s">
        <v>975</v>
      </c>
    </row>
    <row r="86" spans="1:8">
      <c r="A86" t="s">
        <v>307</v>
      </c>
      <c r="B86" t="s">
        <v>308</v>
      </c>
      <c r="C86" s="6">
        <v>38000</v>
      </c>
      <c r="D86" s="8">
        <f>SUMIF('Package PO Plan'!$B:$B,A86,'Package PO Plan'!$F:$F)+SUMIF('Commercial Events'!$B:$B,A86,'Commercial Events'!$K:$K)</f>
        <v>0</v>
      </c>
      <c r="E86" s="8">
        <f>SUMIF(Ledger!$B:$B,A86,Ledger!$H:$H)</f>
        <v>0</v>
      </c>
      <c r="F86" s="7">
        <f>MAX(C86,D86,E86)</f>
        <v>38000</v>
      </c>
      <c r="G86" s="7">
        <f t="shared" si="4"/>
        <v>0</v>
      </c>
      <c r="H86" t="s">
        <v>975</v>
      </c>
    </row>
    <row r="87" spans="1:8">
      <c r="A87" t="s">
        <v>309</v>
      </c>
      <c r="B87" t="s">
        <v>310</v>
      </c>
      <c r="C87" s="6">
        <v>22000</v>
      </c>
      <c r="D87" s="8">
        <f>SUMIF('Package PO Plan'!$B:$B,A87,'Package PO Plan'!$F:$F)+SUMIF('Commercial Events'!$B:$B,A87,'Commercial Events'!$K:$K)</f>
        <v>0</v>
      </c>
      <c r="E87" s="8">
        <f>SUMIF(Ledger!$B:$B,A87,Ledger!$H:$H)</f>
        <v>0</v>
      </c>
      <c r="F87" s="7">
        <f>MAX(C87,D87,E87)</f>
        <v>22000</v>
      </c>
      <c r="G87" s="7">
        <f t="shared" si="4"/>
        <v>0</v>
      </c>
      <c r="H87" t="s">
        <v>975</v>
      </c>
    </row>
    <row r="88" spans="1:8">
      <c r="A88" t="s">
        <v>311</v>
      </c>
      <c r="B88" t="s">
        <v>312</v>
      </c>
      <c r="C88" s="6">
        <v>115000</v>
      </c>
      <c r="D88" s="8">
        <f>SUMIF('Package PO Plan'!$B:$B,A88,'Package PO Plan'!$F:$F)+SUMIF('Commercial Events'!$B:$B,A88,'Commercial Events'!$K:$K)</f>
        <v>110000</v>
      </c>
      <c r="E88" s="8">
        <f>SUMIF(Ledger!$B:$B,A88,Ledger!$H:$H)</f>
        <v>42000</v>
      </c>
      <c r="F88" s="6">
        <v>118000</v>
      </c>
      <c r="G88" s="7">
        <f t="shared" si="4"/>
        <v>-3000</v>
      </c>
      <c r="H88" t="s">
        <v>516</v>
      </c>
    </row>
    <row r="89" spans="1:8">
      <c r="A89" t="s">
        <v>313</v>
      </c>
      <c r="B89" t="s">
        <v>314</v>
      </c>
      <c r="C89" s="6">
        <v>72000</v>
      </c>
      <c r="D89" s="8">
        <f>SUMIF('Package PO Plan'!$B:$B,A89,'Package PO Plan'!$F:$F)+SUMIF('Commercial Events'!$B:$B,A89,'Commercial Events'!$K:$K)</f>
        <v>0</v>
      </c>
      <c r="E89" s="8">
        <f>SUMIF(Ledger!$B:$B,A89,Ledger!$H:$H)</f>
        <v>0</v>
      </c>
      <c r="F89" s="7">
        <f>MAX(C89,D89,E89)</f>
        <v>72000</v>
      </c>
      <c r="G89" s="7">
        <f t="shared" si="4"/>
        <v>0</v>
      </c>
      <c r="H89" t="s">
        <v>975</v>
      </c>
    </row>
    <row r="90" spans="1:8">
      <c r="A90" t="s">
        <v>315</v>
      </c>
      <c r="B90" t="s">
        <v>316</v>
      </c>
      <c r="C90" s="6">
        <v>125000</v>
      </c>
      <c r="D90" s="8">
        <f>SUMIF('Package PO Plan'!$B:$B,A90,'Package PO Plan'!$F:$F)+SUMIF('Commercial Events'!$B:$B,A90,'Commercial Events'!$K:$K)</f>
        <v>119000</v>
      </c>
      <c r="E90" s="8">
        <f>SUMIF(Ledger!$B:$B,A90,Ledger!$H:$H)</f>
        <v>46000</v>
      </c>
      <c r="F90" s="6">
        <v>119000</v>
      </c>
      <c r="G90" s="7">
        <f t="shared" si="4"/>
        <v>6000</v>
      </c>
      <c r="H90" t="s">
        <v>517</v>
      </c>
    </row>
    <row r="91" spans="1:8">
      <c r="A91" t="s">
        <v>317</v>
      </c>
      <c r="B91" t="s">
        <v>318</v>
      </c>
      <c r="C91" s="6">
        <v>18000</v>
      </c>
      <c r="D91" s="8">
        <f>SUMIF('Package PO Plan'!$B:$B,A91,'Package PO Plan'!$F:$F)+SUMIF('Commercial Events'!$B:$B,A91,'Commercial Events'!$K:$K)</f>
        <v>0</v>
      </c>
      <c r="E91" s="8">
        <f>SUMIF(Ledger!$B:$B,A91,Ledger!$H:$H)</f>
        <v>0</v>
      </c>
      <c r="F91" s="7">
        <f>MAX(C91,D91,E91)</f>
        <v>18000</v>
      </c>
      <c r="G91" s="7">
        <f t="shared" si="4"/>
        <v>0</v>
      </c>
      <c r="H91" t="s">
        <v>975</v>
      </c>
    </row>
    <row r="92" spans="1:8">
      <c r="A92" t="s">
        <v>319</v>
      </c>
      <c r="B92" t="s">
        <v>320</v>
      </c>
      <c r="C92" s="6">
        <v>38000</v>
      </c>
      <c r="D92" s="8">
        <f>SUMIF('Package PO Plan'!$B:$B,A92,'Package PO Plan'!$F:$F)+SUMIF('Commercial Events'!$B:$B,A92,'Commercial Events'!$K:$K)</f>
        <v>0</v>
      </c>
      <c r="E92" s="8">
        <f>SUMIF(Ledger!$B:$B,A92,Ledger!$H:$H)</f>
        <v>0</v>
      </c>
      <c r="F92" s="7">
        <f>MAX(C92,D92,E92)</f>
        <v>38000</v>
      </c>
      <c r="G92" s="7">
        <f t="shared" si="4"/>
        <v>0</v>
      </c>
      <c r="H92" t="s">
        <v>975</v>
      </c>
    </row>
    <row r="93" spans="1:8">
      <c r="A93" t="s">
        <v>321</v>
      </c>
      <c r="B93" t="s">
        <v>322</v>
      </c>
      <c r="C93" s="6">
        <v>128000</v>
      </c>
      <c r="D93" s="8">
        <f>SUMIF('Package PO Plan'!$B:$B,A93,'Package PO Plan'!$F:$F)+SUMIF('Commercial Events'!$B:$B,A93,'Commercial Events'!$K:$K)</f>
        <v>125000</v>
      </c>
      <c r="E93" s="8">
        <f>SUMIF(Ledger!$B:$B,A93,Ledger!$H:$H)</f>
        <v>68000</v>
      </c>
      <c r="F93" s="6">
        <v>125000</v>
      </c>
      <c r="G93" s="7">
        <f t="shared" si="4"/>
        <v>3000</v>
      </c>
      <c r="H93" t="s">
        <v>518</v>
      </c>
    </row>
    <row r="94" spans="1:8">
      <c r="A94" t="s">
        <v>323</v>
      </c>
      <c r="B94" t="s">
        <v>324</v>
      </c>
      <c r="C94" s="6">
        <v>190000</v>
      </c>
      <c r="D94" s="8">
        <f>SUMIF('Package PO Plan'!$B:$B,A94,'Package PO Plan'!$F:$F)+SUMIF('Commercial Events'!$B:$B,A94,'Commercial Events'!$K:$K)</f>
        <v>179000</v>
      </c>
      <c r="E94" s="8">
        <f>SUMIF(Ledger!$B:$B,A94,Ledger!$H:$H)</f>
        <v>92000</v>
      </c>
      <c r="F94" s="6">
        <v>179000</v>
      </c>
      <c r="G94" s="7">
        <f t="shared" si="4"/>
        <v>11000</v>
      </c>
      <c r="H94" t="s">
        <v>519</v>
      </c>
    </row>
    <row r="95" spans="1:8">
      <c r="A95" t="s">
        <v>325</v>
      </c>
      <c r="B95" t="s">
        <v>326</v>
      </c>
      <c r="C95" s="6">
        <v>145000</v>
      </c>
      <c r="D95" s="8">
        <f>SUMIF('Package PO Plan'!$B:$B,A95,'Package PO Plan'!$F:$F)+SUMIF('Commercial Events'!$B:$B,A95,'Commercial Events'!$K:$K)</f>
        <v>156000</v>
      </c>
      <c r="E95" s="8">
        <f>SUMIF(Ledger!$B:$B,A95,Ledger!$H:$H)</f>
        <v>72000</v>
      </c>
      <c r="F95" s="6">
        <v>156000</v>
      </c>
      <c r="G95" s="7">
        <f t="shared" si="4"/>
        <v>-11000</v>
      </c>
      <c r="H95" t="s">
        <v>520</v>
      </c>
    </row>
    <row r="96" spans="1:8">
      <c r="A96" t="s">
        <v>327</v>
      </c>
      <c r="B96" t="s">
        <v>328</v>
      </c>
      <c r="C96" s="6">
        <v>118000</v>
      </c>
      <c r="D96" s="8">
        <f>SUMIF('Package PO Plan'!$B:$B,A96,'Package PO Plan'!$F:$F)+SUMIF('Commercial Events'!$B:$B,A96,'Commercial Events'!$K:$K)</f>
        <v>112000</v>
      </c>
      <c r="E96" s="8">
        <f>SUMIF(Ledger!$B:$B,A96,Ledger!$H:$H)</f>
        <v>30000</v>
      </c>
      <c r="F96" s="7">
        <f>MAX(C96,D96,E96)</f>
        <v>118000</v>
      </c>
      <c r="G96" s="7">
        <f t="shared" si="4"/>
        <v>0</v>
      </c>
      <c r="H96" t="s">
        <v>975</v>
      </c>
    </row>
    <row r="97" spans="1:8">
      <c r="A97" t="s">
        <v>329</v>
      </c>
      <c r="B97" t="s">
        <v>330</v>
      </c>
      <c r="C97" s="6">
        <v>58000</v>
      </c>
      <c r="D97" s="8">
        <f>SUMIF('Package PO Plan'!$B:$B,A97,'Package PO Plan'!$F:$F)+SUMIF('Commercial Events'!$B:$B,A97,'Commercial Events'!$K:$K)</f>
        <v>55000</v>
      </c>
      <c r="E97" s="8">
        <f>SUMIF(Ledger!$B:$B,A97,Ledger!$H:$H)</f>
        <v>0</v>
      </c>
      <c r="F97" s="7">
        <f>MAX(C97,D97,E97)</f>
        <v>58000</v>
      </c>
      <c r="G97" s="7">
        <f t="shared" si="4"/>
        <v>0</v>
      </c>
      <c r="H97" t="s">
        <v>975</v>
      </c>
    </row>
    <row r="98" spans="1:8">
      <c r="A98" t="s">
        <v>331</v>
      </c>
      <c r="B98" t="s">
        <v>332</v>
      </c>
      <c r="C98" s="6">
        <v>28000</v>
      </c>
      <c r="D98" s="8">
        <f>SUMIF('Package PO Plan'!$B:$B,A98,'Package PO Plan'!$F:$F)+SUMIF('Commercial Events'!$B:$B,A98,'Commercial Events'!$K:$K)</f>
        <v>0</v>
      </c>
      <c r="E98" s="8">
        <f>SUMIF(Ledger!$B:$B,A98,Ledger!$H:$H)</f>
        <v>0</v>
      </c>
      <c r="F98" s="7">
        <f>MAX(C98,D98,E98)</f>
        <v>28000</v>
      </c>
      <c r="G98" s="7">
        <f t="shared" si="4"/>
        <v>0</v>
      </c>
      <c r="H98" t="s">
        <v>975</v>
      </c>
    </row>
    <row r="99" spans="1:8">
      <c r="A99" t="s">
        <v>333</v>
      </c>
      <c r="B99" t="s">
        <v>334</v>
      </c>
      <c r="C99" s="6">
        <v>0</v>
      </c>
      <c r="D99" s="8">
        <f>SUMIF('Package PO Plan'!$B:$B,A99,'Package PO Plan'!$F:$F)+SUMIF('Commercial Events'!$B:$B,A99,'Commercial Events'!$K:$K)</f>
        <v>0</v>
      </c>
      <c r="E99" s="8">
        <f>SUMIF(Ledger!$B:$B,A99,Ledger!$H:$H)</f>
        <v>8500</v>
      </c>
      <c r="F99" s="6">
        <v>8500</v>
      </c>
      <c r="G99" s="7">
        <f t="shared" si="4"/>
        <v>-8500</v>
      </c>
      <c r="H99" t="s">
        <v>976</v>
      </c>
    </row>
    <row r="100" spans="1:8">
      <c r="A100" t="s">
        <v>335</v>
      </c>
      <c r="B100" t="s">
        <v>336</v>
      </c>
      <c r="C100" s="6">
        <v>62000</v>
      </c>
      <c r="D100" s="8">
        <f>SUMIF('Package PO Plan'!$B:$B,A100,'Package PO Plan'!$F:$F)+SUMIF('Commercial Events'!$B:$B,A100,'Commercial Events'!$K:$K)</f>
        <v>0</v>
      </c>
      <c r="E100" s="8">
        <f>SUMIF(Ledger!$B:$B,A100,Ledger!$H:$H)</f>
        <v>0</v>
      </c>
      <c r="F100" s="7">
        <f>MAX(C100,D100,E100)</f>
        <v>62000</v>
      </c>
      <c r="G100" s="7">
        <f t="shared" ref="G100:G131" si="5">C100-F100</f>
        <v>0</v>
      </c>
      <c r="H100" t="s">
        <v>975</v>
      </c>
    </row>
    <row r="101" spans="1:8">
      <c r="A101" t="s">
        <v>337</v>
      </c>
      <c r="B101" t="s">
        <v>338</v>
      </c>
      <c r="C101" s="6">
        <v>38000</v>
      </c>
      <c r="D101" s="8">
        <f>SUMIF('Package PO Plan'!$B:$B,A101,'Package PO Plan'!$F:$F)+SUMIF('Commercial Events'!$B:$B,A101,'Commercial Events'!$K:$K)</f>
        <v>0</v>
      </c>
      <c r="E101" s="8">
        <f>SUMIF(Ledger!$B:$B,A101,Ledger!$H:$H)</f>
        <v>0</v>
      </c>
      <c r="F101" s="7">
        <f>MAX(C101,D101,E101)</f>
        <v>38000</v>
      </c>
      <c r="G101" s="7">
        <f t="shared" si="5"/>
        <v>0</v>
      </c>
      <c r="H101" t="s">
        <v>975</v>
      </c>
    </row>
    <row r="102" spans="1:8">
      <c r="A102" t="s">
        <v>339</v>
      </c>
      <c r="B102" t="s">
        <v>340</v>
      </c>
      <c r="C102" s="6">
        <v>20000</v>
      </c>
      <c r="D102" s="8">
        <f>SUMIF('Package PO Plan'!$B:$B,A102,'Package PO Plan'!$F:$F)+SUMIF('Commercial Events'!$B:$B,A102,'Commercial Events'!$K:$K)</f>
        <v>0</v>
      </c>
      <c r="E102" s="8">
        <f>SUMIF(Ledger!$B:$B,A102,Ledger!$H:$H)</f>
        <v>0</v>
      </c>
      <c r="F102" s="7">
        <f>MAX(C102,D102,E102)</f>
        <v>20000</v>
      </c>
      <c r="G102" s="7">
        <f t="shared" si="5"/>
        <v>0</v>
      </c>
      <c r="H102" t="s">
        <v>975</v>
      </c>
    </row>
    <row r="103" spans="1:8">
      <c r="A103" t="s">
        <v>341</v>
      </c>
      <c r="B103" t="s">
        <v>342</v>
      </c>
      <c r="C103" s="6">
        <v>18000</v>
      </c>
      <c r="D103" s="8">
        <f>SUMIF('Package PO Plan'!$B:$B,A103,'Package PO Plan'!$F:$F)+SUMIF('Commercial Events'!$B:$B,A103,'Commercial Events'!$K:$K)</f>
        <v>0</v>
      </c>
      <c r="E103" s="8">
        <f>SUMIF(Ledger!$B:$B,A103,Ledger!$H:$H)</f>
        <v>0</v>
      </c>
      <c r="F103" s="7">
        <f>MAX(C103,D103,E103)</f>
        <v>18000</v>
      </c>
      <c r="G103" s="7">
        <f t="shared" si="5"/>
        <v>0</v>
      </c>
      <c r="H103" t="s">
        <v>975</v>
      </c>
    </row>
    <row r="104" spans="1:8">
      <c r="A104" t="s">
        <v>343</v>
      </c>
      <c r="B104" t="s">
        <v>344</v>
      </c>
      <c r="C104" s="6">
        <v>92000</v>
      </c>
      <c r="D104" s="8">
        <f>SUMIF('Package PO Plan'!$B:$B,A104,'Package PO Plan'!$F:$F)+SUMIF('Commercial Events'!$B:$B,A104,'Commercial Events'!$K:$K)</f>
        <v>88000</v>
      </c>
      <c r="E104" s="8">
        <f>SUMIF(Ledger!$B:$B,A104,Ledger!$H:$H)</f>
        <v>38000</v>
      </c>
      <c r="F104" s="6">
        <v>95000</v>
      </c>
      <c r="G104" s="7">
        <f t="shared" si="5"/>
        <v>-3000</v>
      </c>
      <c r="H104" t="s">
        <v>522</v>
      </c>
    </row>
    <row r="105" spans="1:8">
      <c r="A105" t="s">
        <v>345</v>
      </c>
      <c r="B105" t="s">
        <v>346</v>
      </c>
      <c r="C105" s="6">
        <v>48000</v>
      </c>
      <c r="D105" s="8">
        <f>SUMIF('Package PO Plan'!$B:$B,A105,'Package PO Plan'!$F:$F)+SUMIF('Commercial Events'!$B:$B,A105,'Commercial Events'!$K:$K)</f>
        <v>46000</v>
      </c>
      <c r="E105" s="8">
        <f>SUMIF(Ledger!$B:$B,A105,Ledger!$H:$H)</f>
        <v>18000</v>
      </c>
      <c r="F105" s="7">
        <f>MAX(C105,D105,E105)</f>
        <v>48000</v>
      </c>
      <c r="G105" s="7">
        <f t="shared" si="5"/>
        <v>0</v>
      </c>
      <c r="H105" t="s">
        <v>975</v>
      </c>
    </row>
    <row r="106" spans="1:8">
      <c r="A106" t="s">
        <v>347</v>
      </c>
      <c r="B106" t="s">
        <v>348</v>
      </c>
      <c r="C106" s="6">
        <v>30000</v>
      </c>
      <c r="D106" s="8">
        <f>SUMIF('Package PO Plan'!$B:$B,A106,'Package PO Plan'!$F:$F)+SUMIF('Commercial Events'!$B:$B,A106,'Commercial Events'!$K:$K)</f>
        <v>28000</v>
      </c>
      <c r="E106" s="8">
        <f>SUMIF(Ledger!$B:$B,A106,Ledger!$H:$H)</f>
        <v>0</v>
      </c>
      <c r="F106" s="6">
        <v>28000</v>
      </c>
      <c r="G106" s="7">
        <f t="shared" si="5"/>
        <v>2000</v>
      </c>
      <c r="H106" t="s">
        <v>523</v>
      </c>
    </row>
    <row r="107" spans="1:8">
      <c r="A107" t="s">
        <v>349</v>
      </c>
      <c r="B107" t="s">
        <v>350</v>
      </c>
      <c r="C107" s="6">
        <v>165000</v>
      </c>
      <c r="D107" s="8">
        <f>SUMIF('Package PO Plan'!$B:$B,A107,'Package PO Plan'!$F:$F)+SUMIF('Commercial Events'!$B:$B,A107,'Commercial Events'!$K:$K)</f>
        <v>158000</v>
      </c>
      <c r="E107" s="8">
        <f>SUMIF(Ledger!$B:$B,A107,Ledger!$H:$H)</f>
        <v>105000</v>
      </c>
      <c r="F107" s="6">
        <v>172000</v>
      </c>
      <c r="G107" s="7">
        <f t="shared" si="5"/>
        <v>-7000</v>
      </c>
      <c r="H107" t="s">
        <v>524</v>
      </c>
    </row>
    <row r="108" spans="1:8">
      <c r="A108" t="s">
        <v>351</v>
      </c>
      <c r="B108" t="s">
        <v>352</v>
      </c>
      <c r="C108" s="6">
        <v>12000</v>
      </c>
      <c r="D108" s="8">
        <f>SUMIF('Package PO Plan'!$B:$B,A108,'Package PO Plan'!$F:$F)+SUMIF('Commercial Events'!$B:$B,A108,'Commercial Events'!$K:$K)</f>
        <v>0</v>
      </c>
      <c r="E108" s="8">
        <f>SUMIF(Ledger!$B:$B,A108,Ledger!$H:$H)</f>
        <v>0</v>
      </c>
      <c r="F108" s="7">
        <f>MAX(C108,D108,E108)</f>
        <v>12000</v>
      </c>
      <c r="G108" s="7">
        <f t="shared" si="5"/>
        <v>0</v>
      </c>
      <c r="H108" t="s">
        <v>975</v>
      </c>
    </row>
    <row r="109" spans="1:8">
      <c r="A109" t="s">
        <v>361</v>
      </c>
      <c r="B109" t="s">
        <v>362</v>
      </c>
      <c r="C109" s="6">
        <v>54000</v>
      </c>
      <c r="D109" s="8">
        <f>SUMIF('Package PO Plan'!$B:$B,A109,'Package PO Plan'!$F:$F)+SUMIF('Commercial Events'!$B:$B,A109,'Commercial Events'!$K:$K)</f>
        <v>52000</v>
      </c>
      <c r="E109" s="8">
        <f>SUMIF(Ledger!$B:$B,A109,Ledger!$H:$H)</f>
        <v>33000</v>
      </c>
      <c r="F109" s="7">
        <f>MAX(C109,D109,E109)</f>
        <v>54000</v>
      </c>
      <c r="G109" s="7">
        <f t="shared" si="5"/>
        <v>0</v>
      </c>
      <c r="H109" t="s">
        <v>975</v>
      </c>
    </row>
    <row r="110" spans="1:8">
      <c r="A110" t="s">
        <v>363</v>
      </c>
      <c r="B110" t="s">
        <v>364</v>
      </c>
      <c r="C110" s="6">
        <v>42000</v>
      </c>
      <c r="D110" s="8">
        <f>SUMIF('Package PO Plan'!$B:$B,A110,'Package PO Plan'!$F:$F)+SUMIF('Commercial Events'!$B:$B,A110,'Commercial Events'!$K:$K)</f>
        <v>40000</v>
      </c>
      <c r="E110" s="8">
        <f>SUMIF(Ledger!$B:$B,A110,Ledger!$H:$H)</f>
        <v>28000</v>
      </c>
      <c r="F110" s="7">
        <f>MAX(C110,D110,E110)</f>
        <v>42000</v>
      </c>
      <c r="G110" s="7">
        <f t="shared" si="5"/>
        <v>0</v>
      </c>
      <c r="H110" t="s">
        <v>975</v>
      </c>
    </row>
    <row r="111" spans="1:8">
      <c r="A111" t="s">
        <v>365</v>
      </c>
      <c r="B111" t="s">
        <v>366</v>
      </c>
      <c r="C111" s="6">
        <v>52000</v>
      </c>
      <c r="D111" s="8">
        <f>SUMIF('Package PO Plan'!$B:$B,A111,'Package PO Plan'!$F:$F)+SUMIF('Commercial Events'!$B:$B,A111,'Commercial Events'!$K:$K)</f>
        <v>50000</v>
      </c>
      <c r="E111" s="8">
        <f>SUMIF(Ledger!$B:$B,A111,Ledger!$H:$H)</f>
        <v>31000</v>
      </c>
      <c r="F111" s="6">
        <v>56000</v>
      </c>
      <c r="G111" s="7">
        <f t="shared" si="5"/>
        <v>-4000</v>
      </c>
      <c r="H111" t="s">
        <v>525</v>
      </c>
    </row>
    <row r="112" spans="1:8">
      <c r="A112" t="s">
        <v>367</v>
      </c>
      <c r="B112" t="s">
        <v>368</v>
      </c>
      <c r="C112" s="6">
        <v>20000</v>
      </c>
      <c r="D112" s="8">
        <f>SUMIF('Package PO Plan'!$B:$B,A112,'Package PO Plan'!$F:$F)+SUMIF('Commercial Events'!$B:$B,A112,'Commercial Events'!$K:$K)</f>
        <v>0</v>
      </c>
      <c r="E112" s="8">
        <f>SUMIF(Ledger!$B:$B,A112,Ledger!$H:$H)</f>
        <v>0</v>
      </c>
      <c r="F112" s="7">
        <f t="shared" ref="F112:F135" si="6">MAX(C112,D112,E112)</f>
        <v>20000</v>
      </c>
      <c r="G112" s="7">
        <f t="shared" si="5"/>
        <v>0</v>
      </c>
      <c r="H112" t="s">
        <v>975</v>
      </c>
    </row>
    <row r="113" spans="1:8">
      <c r="A113" t="s">
        <v>369</v>
      </c>
      <c r="B113" t="s">
        <v>370</v>
      </c>
      <c r="C113" s="6">
        <v>18000</v>
      </c>
      <c r="D113" s="8">
        <f>SUMIF('Package PO Plan'!$B:$B,A113,'Package PO Plan'!$F:$F)+SUMIF('Commercial Events'!$B:$B,A113,'Commercial Events'!$K:$K)</f>
        <v>0</v>
      </c>
      <c r="E113" s="8">
        <f>SUMIF(Ledger!$B:$B,A113,Ledger!$H:$H)</f>
        <v>0</v>
      </c>
      <c r="F113" s="7">
        <f t="shared" si="6"/>
        <v>18000</v>
      </c>
      <c r="G113" s="7">
        <f t="shared" si="5"/>
        <v>0</v>
      </c>
      <c r="H113" t="s">
        <v>975</v>
      </c>
    </row>
    <row r="114" spans="1:8">
      <c r="A114" t="s">
        <v>371</v>
      </c>
      <c r="B114" t="s">
        <v>372</v>
      </c>
      <c r="C114" s="6">
        <v>45000</v>
      </c>
      <c r="D114" s="8">
        <f>SUMIF('Package PO Plan'!$B:$B,A114,'Package PO Plan'!$F:$F)+SUMIF('Commercial Events'!$B:$B,A114,'Commercial Events'!$K:$K)</f>
        <v>0</v>
      </c>
      <c r="E114" s="8">
        <f>SUMIF(Ledger!$B:$B,A114,Ledger!$H:$H)</f>
        <v>23000</v>
      </c>
      <c r="F114" s="7">
        <f t="shared" si="6"/>
        <v>45000</v>
      </c>
      <c r="G114" s="7">
        <f t="shared" si="5"/>
        <v>0</v>
      </c>
      <c r="H114" t="s">
        <v>975</v>
      </c>
    </row>
    <row r="115" spans="1:8">
      <c r="A115" t="s">
        <v>377</v>
      </c>
      <c r="B115" t="s">
        <v>378</v>
      </c>
      <c r="C115" s="6">
        <v>78000</v>
      </c>
      <c r="D115" s="8">
        <f>SUMIF('Package PO Plan'!$B:$B,A115,'Package PO Plan'!$F:$F)+SUMIF('Commercial Events'!$B:$B,A115,'Commercial Events'!$K:$K)</f>
        <v>0</v>
      </c>
      <c r="E115" s="8">
        <f>SUMIF(Ledger!$B:$B,A115,Ledger!$H:$H)</f>
        <v>38000</v>
      </c>
      <c r="F115" s="7">
        <f t="shared" si="6"/>
        <v>78000</v>
      </c>
      <c r="G115" s="7">
        <f t="shared" si="5"/>
        <v>0</v>
      </c>
      <c r="H115" t="s">
        <v>975</v>
      </c>
    </row>
    <row r="116" spans="1:8">
      <c r="A116" t="s">
        <v>379</v>
      </c>
      <c r="B116" t="s">
        <v>380</v>
      </c>
      <c r="C116" s="6">
        <v>30000</v>
      </c>
      <c r="D116" s="8">
        <f>SUMIF('Package PO Plan'!$B:$B,A116,'Package PO Plan'!$F:$F)+SUMIF('Commercial Events'!$B:$B,A116,'Commercial Events'!$K:$K)</f>
        <v>0</v>
      </c>
      <c r="E116" s="8">
        <f>SUMIF(Ledger!$B:$B,A116,Ledger!$H:$H)</f>
        <v>0</v>
      </c>
      <c r="F116" s="7">
        <f t="shared" si="6"/>
        <v>30000</v>
      </c>
      <c r="G116" s="7">
        <f t="shared" si="5"/>
        <v>0</v>
      </c>
      <c r="H116" t="s">
        <v>975</v>
      </c>
    </row>
    <row r="117" spans="1:8">
      <c r="A117" t="s">
        <v>381</v>
      </c>
      <c r="B117" t="s">
        <v>382</v>
      </c>
      <c r="C117" s="6">
        <v>85000</v>
      </c>
      <c r="D117" s="8">
        <f>SUMIF('Package PO Plan'!$B:$B,A117,'Package PO Plan'!$F:$F)+SUMIF('Commercial Events'!$B:$B,A117,'Commercial Events'!$K:$K)</f>
        <v>82000</v>
      </c>
      <c r="E117" s="8">
        <f>SUMIF(Ledger!$B:$B,A117,Ledger!$H:$H)</f>
        <v>46000</v>
      </c>
      <c r="F117" s="7">
        <f t="shared" si="6"/>
        <v>85000</v>
      </c>
      <c r="G117" s="7">
        <f t="shared" si="5"/>
        <v>0</v>
      </c>
      <c r="H117" t="s">
        <v>975</v>
      </c>
    </row>
    <row r="118" spans="1:8">
      <c r="A118" t="s">
        <v>383</v>
      </c>
      <c r="B118" t="s">
        <v>384</v>
      </c>
      <c r="C118" s="6">
        <v>35000</v>
      </c>
      <c r="D118" s="8">
        <f>SUMIF('Package PO Plan'!$B:$B,A118,'Package PO Plan'!$F:$F)+SUMIF('Commercial Events'!$B:$B,A118,'Commercial Events'!$K:$K)</f>
        <v>0</v>
      </c>
      <c r="E118" s="8">
        <f>SUMIF(Ledger!$B:$B,A118,Ledger!$H:$H)</f>
        <v>0</v>
      </c>
      <c r="F118" s="7">
        <f t="shared" si="6"/>
        <v>35000</v>
      </c>
      <c r="G118" s="7">
        <f t="shared" si="5"/>
        <v>0</v>
      </c>
      <c r="H118" t="s">
        <v>975</v>
      </c>
    </row>
    <row r="119" spans="1:8">
      <c r="A119" t="s">
        <v>385</v>
      </c>
      <c r="B119" t="s">
        <v>386</v>
      </c>
      <c r="C119" s="6">
        <v>34000</v>
      </c>
      <c r="D119" s="8">
        <f>SUMIF('Package PO Plan'!$B:$B,A119,'Package PO Plan'!$F:$F)+SUMIF('Commercial Events'!$B:$B,A119,'Commercial Events'!$K:$K)</f>
        <v>0</v>
      </c>
      <c r="E119" s="8">
        <f>SUMIF(Ledger!$B:$B,A119,Ledger!$H:$H)</f>
        <v>0</v>
      </c>
      <c r="F119" s="7">
        <f t="shared" si="6"/>
        <v>34000</v>
      </c>
      <c r="G119" s="7">
        <f t="shared" si="5"/>
        <v>0</v>
      </c>
      <c r="H119" t="s">
        <v>975</v>
      </c>
    </row>
    <row r="120" spans="1:8">
      <c r="A120" t="s">
        <v>387</v>
      </c>
      <c r="B120" t="s">
        <v>388</v>
      </c>
      <c r="C120" s="6">
        <v>38000</v>
      </c>
      <c r="D120" s="8">
        <f>SUMIF('Package PO Plan'!$B:$B,A120,'Package PO Plan'!$F:$F)+SUMIF('Commercial Events'!$B:$B,A120,'Commercial Events'!$K:$K)</f>
        <v>0</v>
      </c>
      <c r="E120" s="8">
        <f>SUMIF(Ledger!$B:$B,A120,Ledger!$H:$H)</f>
        <v>0</v>
      </c>
      <c r="F120" s="7">
        <f t="shared" si="6"/>
        <v>38000</v>
      </c>
      <c r="G120" s="7">
        <f t="shared" si="5"/>
        <v>0</v>
      </c>
      <c r="H120" t="s">
        <v>975</v>
      </c>
    </row>
    <row r="121" spans="1:8">
      <c r="A121" t="s">
        <v>389</v>
      </c>
      <c r="B121" t="s">
        <v>390</v>
      </c>
      <c r="C121" s="6">
        <v>10000</v>
      </c>
      <c r="D121" s="8">
        <f>SUMIF('Package PO Plan'!$B:$B,A121,'Package PO Plan'!$F:$F)+SUMIF('Commercial Events'!$B:$B,A121,'Commercial Events'!$K:$K)</f>
        <v>0</v>
      </c>
      <c r="E121" s="8">
        <f>SUMIF(Ledger!$B:$B,A121,Ledger!$H:$H)</f>
        <v>0</v>
      </c>
      <c r="F121" s="7">
        <f t="shared" si="6"/>
        <v>10000</v>
      </c>
      <c r="G121" s="7">
        <f t="shared" si="5"/>
        <v>0</v>
      </c>
      <c r="H121" t="s">
        <v>975</v>
      </c>
    </row>
    <row r="122" spans="1:8">
      <c r="A122" t="s">
        <v>391</v>
      </c>
      <c r="B122" t="s">
        <v>392</v>
      </c>
      <c r="C122" s="6">
        <v>18000</v>
      </c>
      <c r="D122" s="8">
        <f>SUMIF('Package PO Plan'!$B:$B,A122,'Package PO Plan'!$F:$F)+SUMIF('Commercial Events'!$B:$B,A122,'Commercial Events'!$K:$K)</f>
        <v>0</v>
      </c>
      <c r="E122" s="8">
        <f>SUMIF(Ledger!$B:$B,A122,Ledger!$H:$H)</f>
        <v>0</v>
      </c>
      <c r="F122" s="7">
        <f t="shared" si="6"/>
        <v>18000</v>
      </c>
      <c r="G122" s="7">
        <f t="shared" si="5"/>
        <v>0</v>
      </c>
      <c r="H122" t="s">
        <v>975</v>
      </c>
    </row>
    <row r="123" spans="1:8">
      <c r="A123" t="s">
        <v>393</v>
      </c>
      <c r="B123" t="s">
        <v>394</v>
      </c>
      <c r="C123" s="6">
        <v>28000</v>
      </c>
      <c r="D123" s="8">
        <f>SUMIF('Package PO Plan'!$B:$B,A123,'Package PO Plan'!$F:$F)+SUMIF('Commercial Events'!$B:$B,A123,'Commercial Events'!$K:$K)</f>
        <v>0</v>
      </c>
      <c r="E123" s="8">
        <f>SUMIF(Ledger!$B:$B,A123,Ledger!$H:$H)</f>
        <v>0</v>
      </c>
      <c r="F123" s="7">
        <f t="shared" si="6"/>
        <v>28000</v>
      </c>
      <c r="G123" s="7">
        <f t="shared" si="5"/>
        <v>0</v>
      </c>
      <c r="H123" t="s">
        <v>975</v>
      </c>
    </row>
    <row r="124" spans="1:8">
      <c r="A124" t="s">
        <v>395</v>
      </c>
      <c r="B124" t="s">
        <v>396</v>
      </c>
      <c r="C124" s="6">
        <v>42000</v>
      </c>
      <c r="D124" s="8">
        <f>SUMIF('Package PO Plan'!$B:$B,A124,'Package PO Plan'!$F:$F)+SUMIF('Commercial Events'!$B:$B,A124,'Commercial Events'!$K:$K)</f>
        <v>40000</v>
      </c>
      <c r="E124" s="8">
        <f>SUMIF(Ledger!$B:$B,A124,Ledger!$H:$H)</f>
        <v>15000</v>
      </c>
      <c r="F124" s="7">
        <f t="shared" si="6"/>
        <v>42000</v>
      </c>
      <c r="G124" s="7">
        <f t="shared" si="5"/>
        <v>0</v>
      </c>
      <c r="H124" t="s">
        <v>975</v>
      </c>
    </row>
    <row r="125" spans="1:8">
      <c r="A125" t="s">
        <v>397</v>
      </c>
      <c r="B125" t="s">
        <v>398</v>
      </c>
      <c r="C125" s="6">
        <v>18000</v>
      </c>
      <c r="D125" s="8">
        <f>SUMIF('Package PO Plan'!$B:$B,A125,'Package PO Plan'!$F:$F)+SUMIF('Commercial Events'!$B:$B,A125,'Commercial Events'!$K:$K)</f>
        <v>0</v>
      </c>
      <c r="E125" s="8">
        <f>SUMIF(Ledger!$B:$B,A125,Ledger!$H:$H)</f>
        <v>0</v>
      </c>
      <c r="F125" s="7">
        <f t="shared" si="6"/>
        <v>18000</v>
      </c>
      <c r="G125" s="7">
        <f t="shared" si="5"/>
        <v>0</v>
      </c>
      <c r="H125" t="s">
        <v>975</v>
      </c>
    </row>
    <row r="126" spans="1:8">
      <c r="A126" t="s">
        <v>401</v>
      </c>
      <c r="B126" t="s">
        <v>402</v>
      </c>
      <c r="C126" s="6">
        <v>68000</v>
      </c>
      <c r="D126" s="8">
        <f>SUMIF('Package PO Plan'!$B:$B,A126,'Package PO Plan'!$F:$F)+SUMIF('Commercial Events'!$B:$B,A126,'Commercial Events'!$K:$K)</f>
        <v>0</v>
      </c>
      <c r="E126" s="8">
        <f>SUMIF(Ledger!$B:$B,A126,Ledger!$H:$H)</f>
        <v>29000</v>
      </c>
      <c r="F126" s="7">
        <f t="shared" si="6"/>
        <v>68000</v>
      </c>
      <c r="G126" s="7">
        <f t="shared" si="5"/>
        <v>0</v>
      </c>
      <c r="H126" t="s">
        <v>975</v>
      </c>
    </row>
    <row r="127" spans="1:8">
      <c r="A127" t="s">
        <v>403</v>
      </c>
      <c r="B127" t="s">
        <v>404</v>
      </c>
      <c r="C127" s="6">
        <v>12000</v>
      </c>
      <c r="D127" s="8">
        <f>SUMIF('Package PO Plan'!$B:$B,A127,'Package PO Plan'!$F:$F)+SUMIF('Commercial Events'!$B:$B,A127,'Commercial Events'!$K:$K)</f>
        <v>0</v>
      </c>
      <c r="E127" s="8">
        <f>SUMIF(Ledger!$B:$B,A127,Ledger!$H:$H)</f>
        <v>0</v>
      </c>
      <c r="F127" s="7">
        <f t="shared" si="6"/>
        <v>12000</v>
      </c>
      <c r="G127" s="7">
        <f t="shared" si="5"/>
        <v>0</v>
      </c>
      <c r="H127" t="s">
        <v>975</v>
      </c>
    </row>
    <row r="128" spans="1:8">
      <c r="A128" t="s">
        <v>407</v>
      </c>
      <c r="B128" t="s">
        <v>408</v>
      </c>
      <c r="C128" s="6">
        <v>9000</v>
      </c>
      <c r="D128" s="8">
        <f>SUMIF('Package PO Plan'!$B:$B,A128,'Package PO Plan'!$F:$F)+SUMIF('Commercial Events'!$B:$B,A128,'Commercial Events'!$K:$K)</f>
        <v>0</v>
      </c>
      <c r="E128" s="8">
        <f>SUMIF(Ledger!$B:$B,A128,Ledger!$H:$H)</f>
        <v>0</v>
      </c>
      <c r="F128" s="7">
        <f t="shared" si="6"/>
        <v>9000</v>
      </c>
      <c r="G128" s="7">
        <f t="shared" si="5"/>
        <v>0</v>
      </c>
      <c r="H128" t="s">
        <v>975</v>
      </c>
    </row>
    <row r="129" spans="1:8">
      <c r="A129" t="s">
        <v>413</v>
      </c>
      <c r="B129" t="s">
        <v>414</v>
      </c>
      <c r="C129" s="6">
        <v>18000</v>
      </c>
      <c r="D129" s="8">
        <f>SUMIF('Package PO Plan'!$B:$B,A129,'Package PO Plan'!$F:$F)+SUMIF('Commercial Events'!$B:$B,A129,'Commercial Events'!$K:$K)</f>
        <v>0</v>
      </c>
      <c r="E129" s="8">
        <f>SUMIF(Ledger!$B:$B,A129,Ledger!$H:$H)</f>
        <v>0</v>
      </c>
      <c r="F129" s="7">
        <f t="shared" si="6"/>
        <v>18000</v>
      </c>
      <c r="G129" s="7">
        <f t="shared" si="5"/>
        <v>0</v>
      </c>
      <c r="H129" t="s">
        <v>975</v>
      </c>
    </row>
    <row r="130" spans="1:8">
      <c r="A130" t="s">
        <v>415</v>
      </c>
      <c r="B130" t="s">
        <v>417</v>
      </c>
      <c r="C130" s="6">
        <v>80000</v>
      </c>
      <c r="D130" s="8">
        <f>SUMIF('Package PO Plan'!$B:$B,A130,'Package PO Plan'!$F:$F)+SUMIF('Commercial Events'!$B:$B,A130,'Commercial Events'!$K:$K)</f>
        <v>76000</v>
      </c>
      <c r="E130" s="8">
        <f>SUMIF(Ledger!$B:$B,A130,Ledger!$H:$H)</f>
        <v>76000</v>
      </c>
      <c r="F130" s="7">
        <f t="shared" si="6"/>
        <v>80000</v>
      </c>
      <c r="G130" s="7">
        <f t="shared" si="5"/>
        <v>0</v>
      </c>
      <c r="H130" t="s">
        <v>975</v>
      </c>
    </row>
    <row r="131" spans="1:8">
      <c r="A131" t="s">
        <v>420</v>
      </c>
      <c r="B131" t="s">
        <v>421</v>
      </c>
      <c r="C131" s="6">
        <v>18000</v>
      </c>
      <c r="D131" s="8">
        <f>SUMIF('Package PO Plan'!$B:$B,A131,'Package PO Plan'!$F:$F)+SUMIF('Commercial Events'!$B:$B,A131,'Commercial Events'!$K:$K)</f>
        <v>0</v>
      </c>
      <c r="E131" s="8">
        <f>SUMIF(Ledger!$B:$B,A131,Ledger!$H:$H)</f>
        <v>0</v>
      </c>
      <c r="F131" s="7">
        <f t="shared" si="6"/>
        <v>18000</v>
      </c>
      <c r="G131" s="7">
        <f t="shared" si="5"/>
        <v>0</v>
      </c>
      <c r="H131" t="s">
        <v>975</v>
      </c>
    </row>
    <row r="132" spans="1:8">
      <c r="A132" t="s">
        <v>430</v>
      </c>
      <c r="B132" t="s">
        <v>431</v>
      </c>
      <c r="C132" s="6">
        <v>95000</v>
      </c>
      <c r="D132" s="8">
        <f>SUMIF('Package PO Plan'!$B:$B,A132,'Package PO Plan'!$F:$F)+SUMIF('Commercial Events'!$B:$B,A132,'Commercial Events'!$K:$K)</f>
        <v>0</v>
      </c>
      <c r="E132" s="8">
        <f>SUMIF(Ledger!$B:$B,A132,Ledger!$H:$H)</f>
        <v>35000</v>
      </c>
      <c r="F132" s="7">
        <f t="shared" si="6"/>
        <v>95000</v>
      </c>
      <c r="G132" s="7">
        <f t="shared" ref="G132:G163" si="7">C132-F132</f>
        <v>0</v>
      </c>
      <c r="H132" t="s">
        <v>975</v>
      </c>
    </row>
    <row r="133" spans="1:8">
      <c r="A133" t="s">
        <v>436</v>
      </c>
      <c r="B133" t="s">
        <v>437</v>
      </c>
      <c r="C133" s="6">
        <v>65000</v>
      </c>
      <c r="D133" s="8">
        <f>SUMIF('Package PO Plan'!$B:$B,A133,'Package PO Plan'!$F:$F)+SUMIF('Commercial Events'!$B:$B,A133,'Commercial Events'!$K:$K)</f>
        <v>0</v>
      </c>
      <c r="E133" s="8">
        <f>SUMIF(Ledger!$B:$B,A133,Ledger!$H:$H)</f>
        <v>18000</v>
      </c>
      <c r="F133" s="7">
        <f t="shared" si="6"/>
        <v>65000</v>
      </c>
      <c r="G133" s="7">
        <f t="shared" si="7"/>
        <v>0</v>
      </c>
      <c r="H133" t="s">
        <v>975</v>
      </c>
    </row>
    <row r="134" spans="1:8">
      <c r="A134" t="s">
        <v>444</v>
      </c>
      <c r="B134" t="s">
        <v>445</v>
      </c>
      <c r="C134" s="6">
        <v>55000</v>
      </c>
      <c r="D134" s="8">
        <f>SUMIF('Package PO Plan'!$B:$B,A134,'Package PO Plan'!$F:$F)+SUMIF('Commercial Events'!$B:$B,A134,'Commercial Events'!$K:$K)</f>
        <v>0</v>
      </c>
      <c r="E134" s="8">
        <f>SUMIF(Ledger!$B:$B,A134,Ledger!$H:$H)</f>
        <v>34000</v>
      </c>
      <c r="F134" s="7">
        <f t="shared" si="6"/>
        <v>55000</v>
      </c>
      <c r="G134" s="7">
        <f t="shared" si="7"/>
        <v>0</v>
      </c>
      <c r="H134" t="s">
        <v>975</v>
      </c>
    </row>
    <row r="135" spans="1:8">
      <c r="A135" t="s">
        <v>446</v>
      </c>
      <c r="B135" t="s">
        <v>447</v>
      </c>
      <c r="C135" s="6">
        <v>25000</v>
      </c>
      <c r="D135" s="8">
        <f>SUMIF('Package PO Plan'!$B:$B,A135,'Package PO Plan'!$F:$F)+SUMIF('Commercial Events'!$B:$B,A135,'Commercial Events'!$K:$K)</f>
        <v>0</v>
      </c>
      <c r="E135" s="8">
        <f>SUMIF(Ledger!$B:$B,A135,Ledger!$H:$H)</f>
        <v>0</v>
      </c>
      <c r="F135" s="7">
        <f t="shared" si="6"/>
        <v>25000</v>
      </c>
      <c r="G135" s="7">
        <f t="shared" si="7"/>
        <v>0</v>
      </c>
      <c r="H135" t="s">
        <v>975</v>
      </c>
    </row>
    <row r="136" spans="1:8">
      <c r="A136" t="s">
        <v>448</v>
      </c>
      <c r="B136" t="s">
        <v>449</v>
      </c>
      <c r="C136" s="6">
        <v>75000</v>
      </c>
      <c r="D136" s="8">
        <f>SUMIF('Package PO Plan'!$B:$B,A136,'Package PO Plan'!$F:$F)+SUMIF('Commercial Events'!$B:$B,A136,'Commercial Events'!$K:$K)</f>
        <v>76500</v>
      </c>
      <c r="E136" s="8">
        <f>SUMIF(Ledger!$B:$B,A136,Ledger!$H:$H)</f>
        <v>25000</v>
      </c>
      <c r="F136" s="6">
        <v>80000</v>
      </c>
      <c r="G136" s="7">
        <f t="shared" si="7"/>
        <v>-5000</v>
      </c>
      <c r="H136" t="s">
        <v>526</v>
      </c>
    </row>
    <row r="137" spans="1:8">
      <c r="A137" t="s">
        <v>462</v>
      </c>
      <c r="B137" t="s">
        <v>464</v>
      </c>
      <c r="C137" s="6">
        <v>160000</v>
      </c>
      <c r="D137" s="8">
        <f>SUMIF('Package PO Plan'!$B:$B,A137,'Package PO Plan'!$F:$F)+SUMIF('Commercial Events'!$B:$B,A137,'Commercial Events'!$K:$K)</f>
        <v>0</v>
      </c>
      <c r="E137" s="8">
        <f>SUMIF(Ledger!$B:$B,A137,Ledger!$H:$H)</f>
        <v>80000</v>
      </c>
      <c r="F137" s="7">
        <f t="shared" ref="F137:F150" si="8">MAX(C137,D137,E137)</f>
        <v>160000</v>
      </c>
      <c r="G137" s="7">
        <f t="shared" si="7"/>
        <v>0</v>
      </c>
      <c r="H137" t="s">
        <v>975</v>
      </c>
    </row>
    <row r="138" spans="1:8">
      <c r="A138" t="s">
        <v>465</v>
      </c>
      <c r="B138" t="s">
        <v>466</v>
      </c>
      <c r="C138" s="6">
        <v>115000</v>
      </c>
      <c r="D138" s="8">
        <f>SUMIF('Package PO Plan'!$B:$B,A138,'Package PO Plan'!$F:$F)+SUMIF('Commercial Events'!$B:$B,A138,'Commercial Events'!$K:$K)</f>
        <v>0</v>
      </c>
      <c r="E138" s="8">
        <f>SUMIF(Ledger!$B:$B,A138,Ledger!$H:$H)</f>
        <v>57500</v>
      </c>
      <c r="F138" s="7">
        <f t="shared" si="8"/>
        <v>115000</v>
      </c>
      <c r="G138" s="7">
        <f t="shared" si="7"/>
        <v>0</v>
      </c>
      <c r="H138" t="s">
        <v>975</v>
      </c>
    </row>
    <row r="139" spans="1:8">
      <c r="A139" t="s">
        <v>470</v>
      </c>
      <c r="B139" t="s">
        <v>471</v>
      </c>
      <c r="C139" s="6">
        <v>25000</v>
      </c>
      <c r="D139" s="8">
        <f>SUMIF('Package PO Plan'!$B:$B,A139,'Package PO Plan'!$F:$F)+SUMIF('Commercial Events'!$B:$B,A139,'Commercial Events'!$K:$K)</f>
        <v>0</v>
      </c>
      <c r="E139" s="8">
        <f>SUMIF(Ledger!$B:$B,A139,Ledger!$H:$H)</f>
        <v>0</v>
      </c>
      <c r="F139" s="7">
        <f t="shared" si="8"/>
        <v>25000</v>
      </c>
      <c r="G139" s="7">
        <f t="shared" si="7"/>
        <v>0</v>
      </c>
      <c r="H139" t="s">
        <v>975</v>
      </c>
    </row>
    <row r="140" spans="1:8">
      <c r="A140" t="s">
        <v>472</v>
      </c>
      <c r="B140" t="s">
        <v>473</v>
      </c>
      <c r="C140" s="6">
        <v>95000</v>
      </c>
      <c r="D140" s="8">
        <f>SUMIF('Package PO Plan'!$B:$B,A140,'Package PO Plan'!$F:$F)+SUMIF('Commercial Events'!$B:$B,A140,'Commercial Events'!$K:$K)</f>
        <v>0</v>
      </c>
      <c r="E140" s="8">
        <f>SUMIF(Ledger!$B:$B,A140,Ledger!$H:$H)</f>
        <v>0</v>
      </c>
      <c r="F140" s="7">
        <f t="shared" si="8"/>
        <v>95000</v>
      </c>
      <c r="G140" s="7">
        <f t="shared" si="7"/>
        <v>0</v>
      </c>
      <c r="H140" t="s">
        <v>975</v>
      </c>
    </row>
    <row r="141" spans="1:8">
      <c r="A141" t="s">
        <v>476</v>
      </c>
      <c r="B141" t="s">
        <v>477</v>
      </c>
      <c r="C141" s="6">
        <v>42000</v>
      </c>
      <c r="D141" s="8">
        <f>SUMIF('Package PO Plan'!$B:$B,A141,'Package PO Plan'!$F:$F)+SUMIF('Commercial Events'!$B:$B,A141,'Commercial Events'!$K:$K)</f>
        <v>0</v>
      </c>
      <c r="E141" s="8">
        <f>SUMIF(Ledger!$B:$B,A141,Ledger!$H:$H)</f>
        <v>10000</v>
      </c>
      <c r="F141" s="7">
        <f t="shared" si="8"/>
        <v>42000</v>
      </c>
      <c r="G141" s="7">
        <f t="shared" si="7"/>
        <v>0</v>
      </c>
      <c r="H141" t="s">
        <v>975</v>
      </c>
    </row>
    <row r="142" spans="1:8">
      <c r="A142" t="s">
        <v>478</v>
      </c>
      <c r="B142" t="s">
        <v>479</v>
      </c>
      <c r="C142" s="6">
        <v>12000</v>
      </c>
      <c r="D142" s="8">
        <f>SUMIF('Package PO Plan'!$B:$B,A142,'Package PO Plan'!$F:$F)+SUMIF('Commercial Events'!$B:$B,A142,'Commercial Events'!$K:$K)</f>
        <v>0</v>
      </c>
      <c r="E142" s="8">
        <f>SUMIF(Ledger!$B:$B,A142,Ledger!$H:$H)</f>
        <v>0</v>
      </c>
      <c r="F142" s="7">
        <f t="shared" si="8"/>
        <v>12000</v>
      </c>
      <c r="G142" s="7">
        <f t="shared" si="7"/>
        <v>0</v>
      </c>
      <c r="H142" t="s">
        <v>975</v>
      </c>
    </row>
    <row r="143" spans="1:8">
      <c r="A143" t="s">
        <v>480</v>
      </c>
      <c r="B143" t="s">
        <v>482</v>
      </c>
      <c r="C143" s="6">
        <v>35000</v>
      </c>
      <c r="D143" s="8">
        <f>SUMIF('Package PO Plan'!$B:$B,A143,'Package PO Plan'!$F:$F)+SUMIF('Commercial Events'!$B:$B,A143,'Commercial Events'!$K:$K)</f>
        <v>0</v>
      </c>
      <c r="E143" s="8">
        <f>SUMIF(Ledger!$B:$B,A143,Ledger!$H:$H)</f>
        <v>18000</v>
      </c>
      <c r="F143" s="7">
        <f t="shared" si="8"/>
        <v>35000</v>
      </c>
      <c r="G143" s="7">
        <f t="shared" si="7"/>
        <v>0</v>
      </c>
      <c r="H143" t="s">
        <v>975</v>
      </c>
    </row>
    <row r="144" spans="1:8">
      <c r="A144" t="s">
        <v>483</v>
      </c>
      <c r="B144" t="s">
        <v>484</v>
      </c>
      <c r="C144" s="6">
        <v>18000</v>
      </c>
      <c r="D144" s="8">
        <f>SUMIF('Package PO Plan'!$B:$B,A144,'Package PO Plan'!$F:$F)+SUMIF('Commercial Events'!$B:$B,A144,'Commercial Events'!$K:$K)</f>
        <v>0</v>
      </c>
      <c r="E144" s="8">
        <f>SUMIF(Ledger!$B:$B,A144,Ledger!$H:$H)</f>
        <v>0</v>
      </c>
      <c r="F144" s="7">
        <f t="shared" si="8"/>
        <v>18000</v>
      </c>
      <c r="G144" s="7">
        <f t="shared" si="7"/>
        <v>0</v>
      </c>
      <c r="H144" t="s">
        <v>975</v>
      </c>
    </row>
    <row r="145" spans="1:8">
      <c r="A145" t="s">
        <v>489</v>
      </c>
      <c r="B145" t="s">
        <v>490</v>
      </c>
      <c r="C145" s="6">
        <v>8000</v>
      </c>
      <c r="D145" s="8">
        <f>SUMIF('Package PO Plan'!$B:$B,A145,'Package PO Plan'!$F:$F)+SUMIF('Commercial Events'!$B:$B,A145,'Commercial Events'!$K:$K)</f>
        <v>0</v>
      </c>
      <c r="E145" s="8">
        <f>SUMIF(Ledger!$B:$B,A145,Ledger!$H:$H)</f>
        <v>0</v>
      </c>
      <c r="F145" s="7">
        <f t="shared" si="8"/>
        <v>8000</v>
      </c>
      <c r="G145" s="7">
        <f t="shared" si="7"/>
        <v>0</v>
      </c>
      <c r="H145" t="s">
        <v>975</v>
      </c>
    </row>
    <row r="146" spans="1:8">
      <c r="A146" t="s">
        <v>491</v>
      </c>
      <c r="B146" t="s">
        <v>492</v>
      </c>
      <c r="C146" s="6">
        <v>10000</v>
      </c>
      <c r="D146" s="8">
        <f>SUMIF('Package PO Plan'!$B:$B,A146,'Package PO Plan'!$F:$F)+SUMIF('Commercial Events'!$B:$B,A146,'Commercial Events'!$K:$K)</f>
        <v>0</v>
      </c>
      <c r="E146" s="8">
        <f>SUMIF(Ledger!$B:$B,A146,Ledger!$H:$H)</f>
        <v>0</v>
      </c>
      <c r="F146" s="7">
        <f t="shared" si="8"/>
        <v>10000</v>
      </c>
      <c r="G146" s="7">
        <f t="shared" si="7"/>
        <v>0</v>
      </c>
      <c r="H146" t="s">
        <v>975</v>
      </c>
    </row>
    <row r="147" spans="1:8">
      <c r="A147" t="s">
        <v>493</v>
      </c>
      <c r="B147" t="s">
        <v>494</v>
      </c>
      <c r="C147" s="6">
        <v>12000</v>
      </c>
      <c r="D147" s="8">
        <f>SUMIF('Package PO Plan'!$B:$B,A147,'Package PO Plan'!$F:$F)+SUMIF('Commercial Events'!$B:$B,A147,'Commercial Events'!$K:$K)</f>
        <v>0</v>
      </c>
      <c r="E147" s="8">
        <f>SUMIF(Ledger!$B:$B,A147,Ledger!$H:$H)</f>
        <v>0</v>
      </c>
      <c r="F147" s="7">
        <f t="shared" si="8"/>
        <v>12000</v>
      </c>
      <c r="G147" s="7">
        <f t="shared" si="7"/>
        <v>0</v>
      </c>
      <c r="H147" t="s">
        <v>975</v>
      </c>
    </row>
    <row r="148" spans="1:8">
      <c r="A148" t="s">
        <v>495</v>
      </c>
      <c r="B148" t="s">
        <v>496</v>
      </c>
      <c r="C148" s="6">
        <v>10000</v>
      </c>
      <c r="D148" s="8">
        <f>SUMIF('Package PO Plan'!$B:$B,A148,'Package PO Plan'!$F:$F)+SUMIF('Commercial Events'!$B:$B,A148,'Commercial Events'!$K:$K)</f>
        <v>0</v>
      </c>
      <c r="E148" s="8">
        <f>SUMIF(Ledger!$B:$B,A148,Ledger!$H:$H)</f>
        <v>0</v>
      </c>
      <c r="F148" s="7">
        <f t="shared" si="8"/>
        <v>10000</v>
      </c>
      <c r="G148" s="7">
        <f t="shared" si="7"/>
        <v>0</v>
      </c>
      <c r="H148" t="s">
        <v>975</v>
      </c>
    </row>
    <row r="149" spans="1:8">
      <c r="A149" t="s">
        <v>501</v>
      </c>
      <c r="B149" t="s">
        <v>502</v>
      </c>
      <c r="C149" s="6">
        <v>4000</v>
      </c>
      <c r="D149" s="8">
        <f>SUMIF('Package PO Plan'!$B:$B,A149,'Package PO Plan'!$F:$F)+SUMIF('Commercial Events'!$B:$B,A149,'Commercial Events'!$K:$K)</f>
        <v>0</v>
      </c>
      <c r="E149" s="8">
        <f>SUMIF(Ledger!$B:$B,A149,Ledger!$H:$H)</f>
        <v>0</v>
      </c>
      <c r="F149" s="7">
        <f t="shared" si="8"/>
        <v>4000</v>
      </c>
      <c r="G149" s="7">
        <f t="shared" si="7"/>
        <v>0</v>
      </c>
      <c r="H149" t="s">
        <v>975</v>
      </c>
    </row>
    <row r="150" spans="1:8">
      <c r="A150" t="s">
        <v>503</v>
      </c>
      <c r="B150" t="s">
        <v>504</v>
      </c>
      <c r="C150" s="6">
        <v>5000</v>
      </c>
      <c r="D150" s="8">
        <f>SUMIF('Package PO Plan'!$B:$B,A150,'Package PO Plan'!$F:$F)+SUMIF('Commercial Events'!$B:$B,A150,'Commercial Events'!$K:$K)</f>
        <v>0</v>
      </c>
      <c r="E150" s="8">
        <f>SUMIF(Ledger!$B:$B,A150,Ledger!$H:$H)</f>
        <v>0</v>
      </c>
      <c r="F150" s="7">
        <f t="shared" si="8"/>
        <v>5000</v>
      </c>
      <c r="G150" s="7">
        <f t="shared" si="7"/>
        <v>0</v>
      </c>
      <c r="H150" t="s">
        <v>975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23"/>
  <sheetViews>
    <sheetView workbookViewId="0"/>
  </sheetViews>
  <sheetFormatPr defaultRowHeight="14.25"/>
  <cols>
    <col min="1" max="1" width="11" customWidth="1"/>
    <col min="2" max="2" width="18" customWidth="1"/>
    <col min="3" max="3" width="42" customWidth="1"/>
    <col min="4" max="4" width="16" customWidth="1"/>
    <col min="5" max="5" width="18" customWidth="1"/>
    <col min="6" max="6" width="16" customWidth="1"/>
    <col min="7" max="7" width="20" customWidth="1"/>
    <col min="8" max="10" width="18" customWidth="1"/>
    <col min="11" max="11" width="17" customWidth="1"/>
    <col min="12" max="12" width="58" customWidth="1"/>
    <col min="14" max="14" width="18" customWidth="1"/>
    <col min="15" max="17" width="17" customWidth="1"/>
  </cols>
  <sheetData>
    <row r="1" spans="1:17" ht="27.95" customHeight="1">
      <c r="A1" s="16" t="s">
        <v>977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7" ht="15">
      <c r="A3" s="3" t="s">
        <v>978</v>
      </c>
      <c r="B3" s="3" t="s">
        <v>23</v>
      </c>
      <c r="N3" s="3" t="s">
        <v>979</v>
      </c>
      <c r="O3" s="3" t="s">
        <v>535</v>
      </c>
      <c r="P3" s="3" t="s">
        <v>972</v>
      </c>
      <c r="Q3" s="3" t="s">
        <v>980</v>
      </c>
    </row>
    <row r="4" spans="1:17" ht="15">
      <c r="A4" s="1" t="s">
        <v>981</v>
      </c>
      <c r="B4" s="7">
        <f>SUM(D14:D223)</f>
        <v>8065500</v>
      </c>
      <c r="N4" t="s">
        <v>62</v>
      </c>
      <c r="O4" s="7">
        <f t="shared" ref="O4:O12" si="0">SUMIF($B$14:$B$223,N4,$D$14:$D$223)</f>
        <v>1760000</v>
      </c>
      <c r="P4" s="7">
        <f t="shared" ref="P4:P12" si="1">SUMIF($B$14:$B$223,N4,$J$14:$J$223)</f>
        <v>1760000</v>
      </c>
      <c r="Q4" s="7">
        <f t="shared" ref="Q4:Q12" si="2">O4-P4</f>
        <v>0</v>
      </c>
    </row>
    <row r="5" spans="1:17" ht="15">
      <c r="A5" s="1" t="s">
        <v>982</v>
      </c>
      <c r="B5" s="7">
        <f>SUM(E14:E223)</f>
        <v>2525000</v>
      </c>
      <c r="N5" t="s">
        <v>83</v>
      </c>
      <c r="O5" s="7">
        <f t="shared" si="0"/>
        <v>522000</v>
      </c>
      <c r="P5" s="7">
        <f t="shared" si="1"/>
        <v>522000</v>
      </c>
      <c r="Q5" s="7">
        <f t="shared" si="2"/>
        <v>0</v>
      </c>
    </row>
    <row r="6" spans="1:17" ht="15">
      <c r="A6" s="1" t="s">
        <v>983</v>
      </c>
      <c r="B6" s="7">
        <f>SUM(F14:F223)</f>
        <v>53500</v>
      </c>
      <c r="N6" t="s">
        <v>134</v>
      </c>
      <c r="O6" s="7">
        <f t="shared" si="0"/>
        <v>516500</v>
      </c>
      <c r="P6" s="7">
        <f t="shared" si="1"/>
        <v>506500</v>
      </c>
      <c r="Q6" s="7">
        <f t="shared" si="2"/>
        <v>10000</v>
      </c>
    </row>
    <row r="7" spans="1:17" ht="15">
      <c r="A7" s="1" t="s">
        <v>984</v>
      </c>
      <c r="B7" s="7">
        <f>SUM(H14:H223)</f>
        <v>3867500</v>
      </c>
      <c r="N7" t="s">
        <v>216</v>
      </c>
      <c r="O7" s="7">
        <f t="shared" si="0"/>
        <v>500000</v>
      </c>
      <c r="P7" s="7">
        <f t="shared" si="1"/>
        <v>535000</v>
      </c>
      <c r="Q7" s="7">
        <f t="shared" si="2"/>
        <v>-35000</v>
      </c>
    </row>
    <row r="8" spans="1:17" ht="15">
      <c r="A8" s="1" t="s">
        <v>985</v>
      </c>
      <c r="B8" s="7">
        <f>SUM(J14:J223)</f>
        <v>8115000</v>
      </c>
      <c r="N8" t="s">
        <v>253</v>
      </c>
      <c r="O8" s="7">
        <f t="shared" si="0"/>
        <v>855000</v>
      </c>
      <c r="P8" s="7">
        <f t="shared" si="1"/>
        <v>855000</v>
      </c>
      <c r="Q8" s="7">
        <f t="shared" si="2"/>
        <v>0</v>
      </c>
    </row>
    <row r="9" spans="1:17" ht="15">
      <c r="A9" s="1" t="s">
        <v>986</v>
      </c>
      <c r="B9" s="7">
        <f>SUM(K14:K223)</f>
        <v>-49500</v>
      </c>
      <c r="N9" t="s">
        <v>295</v>
      </c>
      <c r="O9" s="7">
        <f t="shared" si="0"/>
        <v>2948000</v>
      </c>
      <c r="P9" s="7">
        <f t="shared" si="1"/>
        <v>2967500</v>
      </c>
      <c r="Q9" s="7">
        <f t="shared" si="2"/>
        <v>-19500</v>
      </c>
    </row>
    <row r="10" spans="1:17">
      <c r="N10" t="s">
        <v>416</v>
      </c>
      <c r="O10" s="7">
        <f t="shared" si="0"/>
        <v>413000</v>
      </c>
      <c r="P10" s="7">
        <f t="shared" si="1"/>
        <v>418000</v>
      </c>
      <c r="Q10" s="7">
        <f t="shared" si="2"/>
        <v>-5000</v>
      </c>
    </row>
    <row r="11" spans="1:17">
      <c r="N11" t="s">
        <v>463</v>
      </c>
      <c r="O11" s="7">
        <f t="shared" si="0"/>
        <v>275000</v>
      </c>
      <c r="P11" s="7">
        <f t="shared" si="1"/>
        <v>275000</v>
      </c>
      <c r="Q11" s="7">
        <f t="shared" si="2"/>
        <v>0</v>
      </c>
    </row>
    <row r="12" spans="1:17">
      <c r="N12" t="s">
        <v>468</v>
      </c>
      <c r="O12" s="7">
        <f t="shared" si="0"/>
        <v>276000</v>
      </c>
      <c r="P12" s="7">
        <f t="shared" si="1"/>
        <v>276000</v>
      </c>
      <c r="Q12" s="7">
        <f t="shared" si="2"/>
        <v>0</v>
      </c>
    </row>
    <row r="13" spans="1:17" ht="30">
      <c r="A13" s="3" t="s">
        <v>54</v>
      </c>
      <c r="B13" s="3" t="s">
        <v>55</v>
      </c>
      <c r="C13" s="3" t="s">
        <v>57</v>
      </c>
      <c r="D13" s="3" t="s">
        <v>535</v>
      </c>
      <c r="E13" s="3" t="s">
        <v>987</v>
      </c>
      <c r="F13" s="3" t="s">
        <v>988</v>
      </c>
      <c r="G13" s="3" t="s">
        <v>970</v>
      </c>
      <c r="H13" s="3" t="s">
        <v>971</v>
      </c>
      <c r="I13" s="3" t="s">
        <v>989</v>
      </c>
      <c r="J13" s="3" t="s">
        <v>972</v>
      </c>
      <c r="K13" s="3" t="s">
        <v>980</v>
      </c>
      <c r="L13" s="3" t="s">
        <v>990</v>
      </c>
    </row>
    <row r="14" spans="1:17">
      <c r="A14" t="s">
        <v>61</v>
      </c>
      <c r="B14" t="s">
        <v>62</v>
      </c>
      <c r="C14" t="s">
        <v>64</v>
      </c>
      <c r="D14" s="8">
        <f>SUMIF('Original Budget'!$A:$A,A14,'Original Budget'!$E:$E)</f>
        <v>1650000</v>
      </c>
      <c r="E14" s="8">
        <f>SUMIF('Package PO Plan'!$B:$B,A14,'Package PO Plan'!$F:$F)</f>
        <v>0</v>
      </c>
      <c r="F14" s="8">
        <f>SUMIF('Commercial Events'!$B:$B,A14,'Commercial Events'!$K:$K)</f>
        <v>0</v>
      </c>
      <c r="G14" s="8">
        <f t="shared" ref="G14:G77" si="3">E14+F14</f>
        <v>0</v>
      </c>
      <c r="H14" s="8">
        <f>SUMIF(Ledger!$B:$B,A14,Ledger!$H:$H)</f>
        <v>1650000</v>
      </c>
      <c r="I14" s="6">
        <v>0</v>
      </c>
      <c r="J14" s="8">
        <f>'Forecast Adjustments'!F4</f>
        <v>1650000</v>
      </c>
      <c r="K14" s="7">
        <f t="shared" ref="K14:K77" si="4">D14-J14</f>
        <v>0</v>
      </c>
    </row>
    <row r="15" spans="1:17">
      <c r="A15" t="s">
        <v>67</v>
      </c>
      <c r="B15" t="s">
        <v>62</v>
      </c>
      <c r="C15" t="s">
        <v>69</v>
      </c>
      <c r="D15" s="8">
        <f>SUMIF('Original Budget'!$A:$A,A15,'Original Budget'!$E:$E)</f>
        <v>0</v>
      </c>
      <c r="E15" s="8">
        <f>SUMIF('Package PO Plan'!$B:$B,A15,'Package PO Plan'!$F:$F)</f>
        <v>0</v>
      </c>
      <c r="F15" s="8">
        <f>SUMIF('Commercial Events'!$B:$B,A15,'Commercial Events'!$K:$K)</f>
        <v>0</v>
      </c>
      <c r="G15" s="8">
        <f t="shared" si="3"/>
        <v>0</v>
      </c>
      <c r="H15" s="8">
        <f>SUMIF(Ledger!$B:$B,A15,Ledger!$H:$H)</f>
        <v>0</v>
      </c>
      <c r="I15" s="6">
        <v>0</v>
      </c>
      <c r="J15" s="7">
        <v>0</v>
      </c>
      <c r="K15" s="7">
        <f t="shared" si="4"/>
        <v>0</v>
      </c>
    </row>
    <row r="16" spans="1:17">
      <c r="A16" t="s">
        <v>71</v>
      </c>
      <c r="B16" t="s">
        <v>62</v>
      </c>
      <c r="C16" t="s">
        <v>72</v>
      </c>
      <c r="D16" s="8">
        <f>SUMIF('Original Budget'!$A:$A,A16,'Original Budget'!$E:$E)</f>
        <v>85000</v>
      </c>
      <c r="E16" s="8">
        <f>SUMIF('Package PO Plan'!$B:$B,A16,'Package PO Plan'!$F:$F)</f>
        <v>0</v>
      </c>
      <c r="F16" s="8">
        <f>SUMIF('Commercial Events'!$B:$B,A16,'Commercial Events'!$K:$K)</f>
        <v>0</v>
      </c>
      <c r="G16" s="8">
        <f t="shared" si="3"/>
        <v>0</v>
      </c>
      <c r="H16" s="8">
        <f>SUMIF(Ledger!$B:$B,A16,Ledger!$H:$H)</f>
        <v>85000</v>
      </c>
      <c r="I16" s="6">
        <v>0</v>
      </c>
      <c r="J16" s="8">
        <f>'Forecast Adjustments'!F5</f>
        <v>85000</v>
      </c>
      <c r="K16" s="7">
        <f t="shared" si="4"/>
        <v>0</v>
      </c>
    </row>
    <row r="17" spans="1:11">
      <c r="A17" t="s">
        <v>73</v>
      </c>
      <c r="B17" t="s">
        <v>62</v>
      </c>
      <c r="C17" t="s">
        <v>75</v>
      </c>
      <c r="D17" s="8">
        <f>SUMIF('Original Budget'!$A:$A,A17,'Original Budget'!$E:$E)</f>
        <v>25000</v>
      </c>
      <c r="E17" s="8">
        <f>SUMIF('Package PO Plan'!$B:$B,A17,'Package PO Plan'!$F:$F)</f>
        <v>0</v>
      </c>
      <c r="F17" s="8">
        <f>SUMIF('Commercial Events'!$B:$B,A17,'Commercial Events'!$K:$K)</f>
        <v>0</v>
      </c>
      <c r="G17" s="8">
        <f t="shared" si="3"/>
        <v>0</v>
      </c>
      <c r="H17" s="8">
        <f>SUMIF(Ledger!$B:$B,A17,Ledger!$H:$H)</f>
        <v>22000</v>
      </c>
      <c r="I17" s="6">
        <v>0</v>
      </c>
      <c r="J17" s="8">
        <f>'Forecast Adjustments'!F6</f>
        <v>25000</v>
      </c>
      <c r="K17" s="7">
        <f t="shared" si="4"/>
        <v>0</v>
      </c>
    </row>
    <row r="18" spans="1:11">
      <c r="A18" t="s">
        <v>76</v>
      </c>
      <c r="B18" t="s">
        <v>62</v>
      </c>
      <c r="C18" t="s">
        <v>77</v>
      </c>
      <c r="D18" s="8">
        <f>SUMIF('Original Budget'!$A:$A,A18,'Original Budget'!$E:$E)</f>
        <v>0</v>
      </c>
      <c r="E18" s="8">
        <f>SUMIF('Package PO Plan'!$B:$B,A18,'Package PO Plan'!$F:$F)</f>
        <v>0</v>
      </c>
      <c r="F18" s="8">
        <f>SUMIF('Commercial Events'!$B:$B,A18,'Commercial Events'!$K:$K)</f>
        <v>0</v>
      </c>
      <c r="G18" s="8">
        <f t="shared" si="3"/>
        <v>0</v>
      </c>
      <c r="H18" s="8">
        <f>SUMIF(Ledger!$B:$B,A18,Ledger!$H:$H)</f>
        <v>0</v>
      </c>
      <c r="I18" s="6">
        <v>0</v>
      </c>
      <c r="J18" s="7">
        <v>0</v>
      </c>
      <c r="K18" s="7">
        <f t="shared" si="4"/>
        <v>0</v>
      </c>
    </row>
    <row r="19" spans="1:11">
      <c r="A19" t="s">
        <v>78</v>
      </c>
      <c r="B19" t="s">
        <v>62</v>
      </c>
      <c r="C19" t="s">
        <v>79</v>
      </c>
      <c r="D19" s="8">
        <f>SUMIF('Original Budget'!$A:$A,A19,'Original Budget'!$E:$E)</f>
        <v>0</v>
      </c>
      <c r="E19" s="8">
        <f>SUMIF('Package PO Plan'!$B:$B,A19,'Package PO Plan'!$F:$F)</f>
        <v>0</v>
      </c>
      <c r="F19" s="8">
        <f>SUMIF('Commercial Events'!$B:$B,A19,'Commercial Events'!$K:$K)</f>
        <v>0</v>
      </c>
      <c r="G19" s="8">
        <f t="shared" si="3"/>
        <v>0</v>
      </c>
      <c r="H19" s="8">
        <f>SUMIF(Ledger!$B:$B,A19,Ledger!$H:$H)</f>
        <v>0</v>
      </c>
      <c r="I19" s="6">
        <v>0</v>
      </c>
      <c r="J19" s="7">
        <v>0</v>
      </c>
      <c r="K19" s="7">
        <f t="shared" si="4"/>
        <v>0</v>
      </c>
    </row>
    <row r="20" spans="1:11">
      <c r="A20" t="s">
        <v>80</v>
      </c>
      <c r="B20" t="s">
        <v>62</v>
      </c>
      <c r="C20" t="s">
        <v>81</v>
      </c>
      <c r="D20" s="8">
        <f>SUMIF('Original Budget'!$A:$A,A20,'Original Budget'!$E:$E)</f>
        <v>0</v>
      </c>
      <c r="E20" s="8">
        <f>SUMIF('Package PO Plan'!$B:$B,A20,'Package PO Plan'!$F:$F)</f>
        <v>0</v>
      </c>
      <c r="F20" s="8">
        <f>SUMIF('Commercial Events'!$B:$B,A20,'Commercial Events'!$K:$K)</f>
        <v>0</v>
      </c>
      <c r="G20" s="8">
        <f t="shared" si="3"/>
        <v>0</v>
      </c>
      <c r="H20" s="8">
        <f>SUMIF(Ledger!$B:$B,A20,Ledger!$H:$H)</f>
        <v>0</v>
      </c>
      <c r="I20" s="6">
        <v>0</v>
      </c>
      <c r="J20" s="7">
        <v>0</v>
      </c>
      <c r="K20" s="7">
        <f t="shared" si="4"/>
        <v>0</v>
      </c>
    </row>
    <row r="21" spans="1:11">
      <c r="A21" t="s">
        <v>82</v>
      </c>
      <c r="B21" t="s">
        <v>83</v>
      </c>
      <c r="C21" t="s">
        <v>84</v>
      </c>
      <c r="D21" s="8">
        <f>SUMIF('Original Budget'!$A:$A,A21,'Original Budget'!$E:$E)</f>
        <v>35000</v>
      </c>
      <c r="E21" s="8">
        <f>SUMIF('Package PO Plan'!$B:$B,A21,'Package PO Plan'!$F:$F)</f>
        <v>0</v>
      </c>
      <c r="F21" s="8">
        <f>SUMIF('Commercial Events'!$B:$B,A21,'Commercial Events'!$K:$K)</f>
        <v>0</v>
      </c>
      <c r="G21" s="8">
        <f t="shared" si="3"/>
        <v>0</v>
      </c>
      <c r="H21" s="8">
        <f>SUMIF(Ledger!$B:$B,A21,Ledger!$H:$H)</f>
        <v>35000</v>
      </c>
      <c r="I21" s="6">
        <v>0</v>
      </c>
      <c r="J21" s="8">
        <f>'Forecast Adjustments'!F7</f>
        <v>35000</v>
      </c>
      <c r="K21" s="7">
        <f t="shared" si="4"/>
        <v>0</v>
      </c>
    </row>
    <row r="22" spans="1:11">
      <c r="A22" t="s">
        <v>85</v>
      </c>
      <c r="B22" t="s">
        <v>83</v>
      </c>
      <c r="C22" t="s">
        <v>86</v>
      </c>
      <c r="D22" s="8">
        <f>SUMIF('Original Budget'!$A:$A,A22,'Original Budget'!$E:$E)</f>
        <v>25000</v>
      </c>
      <c r="E22" s="8">
        <f>SUMIF('Package PO Plan'!$B:$B,A22,'Package PO Plan'!$F:$F)</f>
        <v>0</v>
      </c>
      <c r="F22" s="8">
        <f>SUMIF('Commercial Events'!$B:$B,A22,'Commercial Events'!$K:$K)</f>
        <v>0</v>
      </c>
      <c r="G22" s="8">
        <f t="shared" si="3"/>
        <v>0</v>
      </c>
      <c r="H22" s="8">
        <f>SUMIF(Ledger!$B:$B,A22,Ledger!$H:$H)</f>
        <v>25000</v>
      </c>
      <c r="I22" s="6">
        <v>0</v>
      </c>
      <c r="J22" s="8">
        <f>'Forecast Adjustments'!F8</f>
        <v>25000</v>
      </c>
      <c r="K22" s="7">
        <f t="shared" si="4"/>
        <v>0</v>
      </c>
    </row>
    <row r="23" spans="1:11">
      <c r="A23" t="s">
        <v>87</v>
      </c>
      <c r="B23" t="s">
        <v>83</v>
      </c>
      <c r="C23" t="s">
        <v>88</v>
      </c>
      <c r="D23" s="8">
        <f>SUMIF('Original Budget'!$A:$A,A23,'Original Budget'!$E:$E)</f>
        <v>15000</v>
      </c>
      <c r="E23" s="8">
        <f>SUMIF('Package PO Plan'!$B:$B,A23,'Package PO Plan'!$F:$F)</f>
        <v>0</v>
      </c>
      <c r="F23" s="8">
        <f>SUMIF('Commercial Events'!$B:$B,A23,'Commercial Events'!$K:$K)</f>
        <v>0</v>
      </c>
      <c r="G23" s="8">
        <f t="shared" si="3"/>
        <v>0</v>
      </c>
      <c r="H23" s="8">
        <f>SUMIF(Ledger!$B:$B,A23,Ledger!$H:$H)</f>
        <v>15000</v>
      </c>
      <c r="I23" s="6">
        <v>0</v>
      </c>
      <c r="J23" s="8">
        <f>'Forecast Adjustments'!F9</f>
        <v>15000</v>
      </c>
      <c r="K23" s="7">
        <f t="shared" si="4"/>
        <v>0</v>
      </c>
    </row>
    <row r="24" spans="1:11">
      <c r="A24" t="s">
        <v>89</v>
      </c>
      <c r="B24" t="s">
        <v>83</v>
      </c>
      <c r="C24" t="s">
        <v>90</v>
      </c>
      <c r="D24" s="8">
        <f>SUMIF('Original Budget'!$A:$A,A24,'Original Budget'!$E:$E)</f>
        <v>20000</v>
      </c>
      <c r="E24" s="8">
        <f>SUMIF('Package PO Plan'!$B:$B,A24,'Package PO Plan'!$F:$F)</f>
        <v>0</v>
      </c>
      <c r="F24" s="8">
        <f>SUMIF('Commercial Events'!$B:$B,A24,'Commercial Events'!$K:$K)</f>
        <v>0</v>
      </c>
      <c r="G24" s="8">
        <f t="shared" si="3"/>
        <v>0</v>
      </c>
      <c r="H24" s="8">
        <f>SUMIF(Ledger!$B:$B,A24,Ledger!$H:$H)</f>
        <v>0</v>
      </c>
      <c r="I24" s="6">
        <v>0</v>
      </c>
      <c r="J24" s="8">
        <f>'Forecast Adjustments'!F10</f>
        <v>20000</v>
      </c>
      <c r="K24" s="7">
        <f t="shared" si="4"/>
        <v>0</v>
      </c>
    </row>
    <row r="25" spans="1:11">
      <c r="A25" t="s">
        <v>91</v>
      </c>
      <c r="B25" t="s">
        <v>83</v>
      </c>
      <c r="C25" t="s">
        <v>92</v>
      </c>
      <c r="D25" s="8">
        <f>SUMIF('Original Budget'!$A:$A,A25,'Original Budget'!$E:$E)</f>
        <v>40000</v>
      </c>
      <c r="E25" s="8">
        <f>SUMIF('Package PO Plan'!$B:$B,A25,'Package PO Plan'!$F:$F)</f>
        <v>0</v>
      </c>
      <c r="F25" s="8">
        <f>SUMIF('Commercial Events'!$B:$B,A25,'Commercial Events'!$K:$K)</f>
        <v>0</v>
      </c>
      <c r="G25" s="8">
        <f t="shared" si="3"/>
        <v>0</v>
      </c>
      <c r="H25" s="8">
        <f>SUMIF(Ledger!$B:$B,A25,Ledger!$H:$H)</f>
        <v>28000</v>
      </c>
      <c r="I25" s="6">
        <v>0</v>
      </c>
      <c r="J25" s="8">
        <f>'Forecast Adjustments'!F11</f>
        <v>40000</v>
      </c>
      <c r="K25" s="7">
        <f t="shared" si="4"/>
        <v>0</v>
      </c>
    </row>
    <row r="26" spans="1:11">
      <c r="A26" t="s">
        <v>93</v>
      </c>
      <c r="B26" t="s">
        <v>83</v>
      </c>
      <c r="C26" t="s">
        <v>94</v>
      </c>
      <c r="D26" s="8">
        <f>SUMIF('Original Budget'!$A:$A,A26,'Original Budget'!$E:$E)</f>
        <v>55000</v>
      </c>
      <c r="E26" s="8">
        <f>SUMIF('Package PO Plan'!$B:$B,A26,'Package PO Plan'!$F:$F)</f>
        <v>0</v>
      </c>
      <c r="F26" s="8">
        <f>SUMIF('Commercial Events'!$B:$B,A26,'Commercial Events'!$K:$K)</f>
        <v>0</v>
      </c>
      <c r="G26" s="8">
        <f t="shared" si="3"/>
        <v>0</v>
      </c>
      <c r="H26" s="8">
        <f>SUMIF(Ledger!$B:$B,A26,Ledger!$H:$H)</f>
        <v>25000</v>
      </c>
      <c r="I26" s="6">
        <v>0</v>
      </c>
      <c r="J26" s="8">
        <f>'Forecast Adjustments'!F12</f>
        <v>55000</v>
      </c>
      <c r="K26" s="7">
        <f t="shared" si="4"/>
        <v>0</v>
      </c>
    </row>
    <row r="27" spans="1:11">
      <c r="A27" t="s">
        <v>95</v>
      </c>
      <c r="B27" t="s">
        <v>83</v>
      </c>
      <c r="C27" t="s">
        <v>96</v>
      </c>
      <c r="D27" s="8">
        <f>SUMIF('Original Budget'!$A:$A,A27,'Original Budget'!$E:$E)</f>
        <v>75000</v>
      </c>
      <c r="E27" s="8">
        <f>SUMIF('Package PO Plan'!$B:$B,A27,'Package PO Plan'!$F:$F)</f>
        <v>0</v>
      </c>
      <c r="F27" s="8">
        <f>SUMIF('Commercial Events'!$B:$B,A27,'Commercial Events'!$K:$K)</f>
        <v>0</v>
      </c>
      <c r="G27" s="8">
        <f t="shared" si="3"/>
        <v>0</v>
      </c>
      <c r="H27" s="8">
        <f>SUMIF(Ledger!$B:$B,A27,Ledger!$H:$H)</f>
        <v>42000</v>
      </c>
      <c r="I27" s="6">
        <v>0</v>
      </c>
      <c r="J27" s="8">
        <f>'Forecast Adjustments'!F13</f>
        <v>75000</v>
      </c>
      <c r="K27" s="7">
        <f t="shared" si="4"/>
        <v>0</v>
      </c>
    </row>
    <row r="28" spans="1:11">
      <c r="A28" t="s">
        <v>97</v>
      </c>
      <c r="B28" t="s">
        <v>83</v>
      </c>
      <c r="C28" t="s">
        <v>98</v>
      </c>
      <c r="D28" s="8">
        <f>SUMIF('Original Budget'!$A:$A,A28,'Original Budget'!$E:$E)</f>
        <v>20000</v>
      </c>
      <c r="E28" s="8">
        <f>SUMIF('Package PO Plan'!$B:$B,A28,'Package PO Plan'!$F:$F)</f>
        <v>0</v>
      </c>
      <c r="F28" s="8">
        <f>SUMIF('Commercial Events'!$B:$B,A28,'Commercial Events'!$K:$K)</f>
        <v>0</v>
      </c>
      <c r="G28" s="8">
        <f t="shared" si="3"/>
        <v>0</v>
      </c>
      <c r="H28" s="8">
        <f>SUMIF(Ledger!$B:$B,A28,Ledger!$H:$H)</f>
        <v>0</v>
      </c>
      <c r="I28" s="6">
        <v>0</v>
      </c>
      <c r="J28" s="8">
        <f>'Forecast Adjustments'!F14</f>
        <v>20000</v>
      </c>
      <c r="K28" s="7">
        <f t="shared" si="4"/>
        <v>0</v>
      </c>
    </row>
    <row r="29" spans="1:11">
      <c r="A29" t="s">
        <v>99</v>
      </c>
      <c r="B29" t="s">
        <v>83</v>
      </c>
      <c r="C29" t="s">
        <v>100</v>
      </c>
      <c r="D29" s="8">
        <f>SUMIF('Original Budget'!$A:$A,A29,'Original Budget'!$E:$E)</f>
        <v>25000</v>
      </c>
      <c r="E29" s="8">
        <f>SUMIF('Package PO Plan'!$B:$B,A29,'Package PO Plan'!$F:$F)</f>
        <v>0</v>
      </c>
      <c r="F29" s="8">
        <f>SUMIF('Commercial Events'!$B:$B,A29,'Commercial Events'!$K:$K)</f>
        <v>0</v>
      </c>
      <c r="G29" s="8">
        <f t="shared" si="3"/>
        <v>0</v>
      </c>
      <c r="H29" s="8">
        <f>SUMIF(Ledger!$B:$B,A29,Ledger!$H:$H)</f>
        <v>0</v>
      </c>
      <c r="I29" s="6">
        <v>0</v>
      </c>
      <c r="J29" s="8">
        <f>'Forecast Adjustments'!F15</f>
        <v>25000</v>
      </c>
      <c r="K29" s="7">
        <f t="shared" si="4"/>
        <v>0</v>
      </c>
    </row>
    <row r="30" spans="1:11">
      <c r="A30" t="s">
        <v>101</v>
      </c>
      <c r="B30" t="s">
        <v>83</v>
      </c>
      <c r="C30" t="s">
        <v>102</v>
      </c>
      <c r="D30" s="8">
        <f>SUMIF('Original Budget'!$A:$A,A30,'Original Budget'!$E:$E)</f>
        <v>15000</v>
      </c>
      <c r="E30" s="8">
        <f>SUMIF('Package PO Plan'!$B:$B,A30,'Package PO Plan'!$F:$F)</f>
        <v>0</v>
      </c>
      <c r="F30" s="8">
        <f>SUMIF('Commercial Events'!$B:$B,A30,'Commercial Events'!$K:$K)</f>
        <v>0</v>
      </c>
      <c r="G30" s="8">
        <f t="shared" si="3"/>
        <v>0</v>
      </c>
      <c r="H30" s="8">
        <f>SUMIF(Ledger!$B:$B,A30,Ledger!$H:$H)</f>
        <v>0</v>
      </c>
      <c r="I30" s="6">
        <v>0</v>
      </c>
      <c r="J30" s="8">
        <f>'Forecast Adjustments'!F16</f>
        <v>15000</v>
      </c>
      <c r="K30" s="7">
        <f t="shared" si="4"/>
        <v>0</v>
      </c>
    </row>
    <row r="31" spans="1:11">
      <c r="A31" t="s">
        <v>103</v>
      </c>
      <c r="B31" t="s">
        <v>83</v>
      </c>
      <c r="C31" t="s">
        <v>104</v>
      </c>
      <c r="D31" s="8">
        <f>SUMIF('Original Budget'!$A:$A,A31,'Original Budget'!$E:$E)</f>
        <v>0</v>
      </c>
      <c r="E31" s="8">
        <f>SUMIF('Package PO Plan'!$B:$B,A31,'Package PO Plan'!$F:$F)</f>
        <v>0</v>
      </c>
      <c r="F31" s="8">
        <f>SUMIF('Commercial Events'!$B:$B,A31,'Commercial Events'!$K:$K)</f>
        <v>0</v>
      </c>
      <c r="G31" s="8">
        <f t="shared" si="3"/>
        <v>0</v>
      </c>
      <c r="H31" s="8">
        <f>SUMIF(Ledger!$B:$B,A31,Ledger!$H:$H)</f>
        <v>0</v>
      </c>
      <c r="I31" s="6">
        <v>0</v>
      </c>
      <c r="J31" s="7">
        <v>0</v>
      </c>
      <c r="K31" s="7">
        <f t="shared" si="4"/>
        <v>0</v>
      </c>
    </row>
    <row r="32" spans="1:11">
      <c r="A32" t="s">
        <v>105</v>
      </c>
      <c r="B32" t="s">
        <v>83</v>
      </c>
      <c r="C32" t="s">
        <v>106</v>
      </c>
      <c r="D32" s="8">
        <f>SUMIF('Original Budget'!$A:$A,A32,'Original Budget'!$E:$E)</f>
        <v>20000</v>
      </c>
      <c r="E32" s="8">
        <f>SUMIF('Package PO Plan'!$B:$B,A32,'Package PO Plan'!$F:$F)</f>
        <v>0</v>
      </c>
      <c r="F32" s="8">
        <f>SUMIF('Commercial Events'!$B:$B,A32,'Commercial Events'!$K:$K)</f>
        <v>0</v>
      </c>
      <c r="G32" s="8">
        <f t="shared" si="3"/>
        <v>0</v>
      </c>
      <c r="H32" s="8">
        <f>SUMIF(Ledger!$B:$B,A32,Ledger!$H:$H)</f>
        <v>8000</v>
      </c>
      <c r="I32" s="6">
        <v>0</v>
      </c>
      <c r="J32" s="8">
        <f>'Forecast Adjustments'!F17</f>
        <v>20000</v>
      </c>
      <c r="K32" s="7">
        <f t="shared" si="4"/>
        <v>0</v>
      </c>
    </row>
    <row r="33" spans="1:11">
      <c r="A33" t="s">
        <v>107</v>
      </c>
      <c r="B33" t="s">
        <v>83</v>
      </c>
      <c r="C33" t="s">
        <v>108</v>
      </c>
      <c r="D33" s="8">
        <f>SUMIF('Original Budget'!$A:$A,A33,'Original Budget'!$E:$E)</f>
        <v>15000</v>
      </c>
      <c r="E33" s="8">
        <f>SUMIF('Package PO Plan'!$B:$B,A33,'Package PO Plan'!$F:$F)</f>
        <v>0</v>
      </c>
      <c r="F33" s="8">
        <f>SUMIF('Commercial Events'!$B:$B,A33,'Commercial Events'!$K:$K)</f>
        <v>0</v>
      </c>
      <c r="G33" s="8">
        <f t="shared" si="3"/>
        <v>0</v>
      </c>
      <c r="H33" s="8">
        <f>SUMIF(Ledger!$B:$B,A33,Ledger!$H:$H)</f>
        <v>6000</v>
      </c>
      <c r="I33" s="6">
        <v>0</v>
      </c>
      <c r="J33" s="8">
        <f>'Forecast Adjustments'!F18</f>
        <v>15000</v>
      </c>
      <c r="K33" s="7">
        <f t="shared" si="4"/>
        <v>0</v>
      </c>
    </row>
    <row r="34" spans="1:11">
      <c r="A34" t="s">
        <v>109</v>
      </c>
      <c r="B34" t="s">
        <v>83</v>
      </c>
      <c r="C34" t="s">
        <v>110</v>
      </c>
      <c r="D34" s="8">
        <f>SUMIF('Original Budget'!$A:$A,A34,'Original Budget'!$E:$E)</f>
        <v>10000</v>
      </c>
      <c r="E34" s="8">
        <f>SUMIF('Package PO Plan'!$B:$B,A34,'Package PO Plan'!$F:$F)</f>
        <v>0</v>
      </c>
      <c r="F34" s="8">
        <f>SUMIF('Commercial Events'!$B:$B,A34,'Commercial Events'!$K:$K)</f>
        <v>0</v>
      </c>
      <c r="G34" s="8">
        <f t="shared" si="3"/>
        <v>0</v>
      </c>
      <c r="H34" s="8">
        <f>SUMIF(Ledger!$B:$B,A34,Ledger!$H:$H)</f>
        <v>0</v>
      </c>
      <c r="I34" s="6">
        <v>0</v>
      </c>
      <c r="J34" s="8">
        <f>'Forecast Adjustments'!F19</f>
        <v>10000</v>
      </c>
      <c r="K34" s="7">
        <f t="shared" si="4"/>
        <v>0</v>
      </c>
    </row>
    <row r="35" spans="1:11">
      <c r="A35" t="s">
        <v>111</v>
      </c>
      <c r="B35" t="s">
        <v>83</v>
      </c>
      <c r="C35" t="s">
        <v>113</v>
      </c>
      <c r="D35" s="8">
        <f>SUMIF('Original Budget'!$A:$A,A35,'Original Budget'!$E:$E)</f>
        <v>18000</v>
      </c>
      <c r="E35" s="8">
        <f>SUMIF('Package PO Plan'!$B:$B,A35,'Package PO Plan'!$F:$F)</f>
        <v>0</v>
      </c>
      <c r="F35" s="8">
        <f>SUMIF('Commercial Events'!$B:$B,A35,'Commercial Events'!$K:$K)</f>
        <v>0</v>
      </c>
      <c r="G35" s="8">
        <f t="shared" si="3"/>
        <v>0</v>
      </c>
      <c r="H35" s="8">
        <f>SUMIF(Ledger!$B:$B,A35,Ledger!$H:$H)</f>
        <v>0</v>
      </c>
      <c r="I35" s="6">
        <v>0</v>
      </c>
      <c r="J35" s="8">
        <f>'Forecast Adjustments'!F20</f>
        <v>18000</v>
      </c>
      <c r="K35" s="7">
        <f t="shared" si="4"/>
        <v>0</v>
      </c>
    </row>
    <row r="36" spans="1:11">
      <c r="A36" t="s">
        <v>114</v>
      </c>
      <c r="B36" t="s">
        <v>83</v>
      </c>
      <c r="C36" t="s">
        <v>115</v>
      </c>
      <c r="D36" s="8">
        <f>SUMIF('Original Budget'!$A:$A,A36,'Original Budget'!$E:$E)</f>
        <v>22000</v>
      </c>
      <c r="E36" s="8">
        <f>SUMIF('Package PO Plan'!$B:$B,A36,'Package PO Plan'!$F:$F)</f>
        <v>0</v>
      </c>
      <c r="F36" s="8">
        <f>SUMIF('Commercial Events'!$B:$B,A36,'Commercial Events'!$K:$K)</f>
        <v>0</v>
      </c>
      <c r="G36" s="8">
        <f t="shared" si="3"/>
        <v>0</v>
      </c>
      <c r="H36" s="8">
        <f>SUMIF(Ledger!$B:$B,A36,Ledger!$H:$H)</f>
        <v>0</v>
      </c>
      <c r="I36" s="6">
        <v>0</v>
      </c>
      <c r="J36" s="8">
        <f>'Forecast Adjustments'!F21</f>
        <v>22000</v>
      </c>
      <c r="K36" s="7">
        <f t="shared" si="4"/>
        <v>0</v>
      </c>
    </row>
    <row r="37" spans="1:11">
      <c r="A37" t="s">
        <v>116</v>
      </c>
      <c r="B37" t="s">
        <v>83</v>
      </c>
      <c r="C37" t="s">
        <v>117</v>
      </c>
      <c r="D37" s="8">
        <f>SUMIF('Original Budget'!$A:$A,A37,'Original Budget'!$E:$E)</f>
        <v>12000</v>
      </c>
      <c r="E37" s="8">
        <f>SUMIF('Package PO Plan'!$B:$B,A37,'Package PO Plan'!$F:$F)</f>
        <v>0</v>
      </c>
      <c r="F37" s="8">
        <f>SUMIF('Commercial Events'!$B:$B,A37,'Commercial Events'!$K:$K)</f>
        <v>0</v>
      </c>
      <c r="G37" s="8">
        <f t="shared" si="3"/>
        <v>0</v>
      </c>
      <c r="H37" s="8">
        <f>SUMIF(Ledger!$B:$B,A37,Ledger!$H:$H)</f>
        <v>0</v>
      </c>
      <c r="I37" s="6">
        <v>0</v>
      </c>
      <c r="J37" s="8">
        <f>'Forecast Adjustments'!F22</f>
        <v>12000</v>
      </c>
      <c r="K37" s="7">
        <f t="shared" si="4"/>
        <v>0</v>
      </c>
    </row>
    <row r="38" spans="1:11">
      <c r="A38" t="s">
        <v>118</v>
      </c>
      <c r="B38" t="s">
        <v>83</v>
      </c>
      <c r="C38" t="s">
        <v>119</v>
      </c>
      <c r="D38" s="8">
        <f>SUMIF('Original Budget'!$A:$A,A38,'Original Budget'!$E:$E)</f>
        <v>22000</v>
      </c>
      <c r="E38" s="8">
        <f>SUMIF('Package PO Plan'!$B:$B,A38,'Package PO Plan'!$F:$F)</f>
        <v>0</v>
      </c>
      <c r="F38" s="8">
        <f>SUMIF('Commercial Events'!$B:$B,A38,'Commercial Events'!$K:$K)</f>
        <v>0</v>
      </c>
      <c r="G38" s="8">
        <f t="shared" si="3"/>
        <v>0</v>
      </c>
      <c r="H38" s="8">
        <f>SUMIF(Ledger!$B:$B,A38,Ledger!$H:$H)</f>
        <v>0</v>
      </c>
      <c r="I38" s="6">
        <v>0</v>
      </c>
      <c r="J38" s="8">
        <f>'Forecast Adjustments'!F23</f>
        <v>22000</v>
      </c>
      <c r="K38" s="7">
        <f t="shared" si="4"/>
        <v>0</v>
      </c>
    </row>
    <row r="39" spans="1:11">
      <c r="A39" t="s">
        <v>120</v>
      </c>
      <c r="B39" t="s">
        <v>83</v>
      </c>
      <c r="C39" t="s">
        <v>121</v>
      </c>
      <c r="D39" s="8">
        <f>SUMIF('Original Budget'!$A:$A,A39,'Original Budget'!$E:$E)</f>
        <v>0</v>
      </c>
      <c r="E39" s="8">
        <f>SUMIF('Package PO Plan'!$B:$B,A39,'Package PO Plan'!$F:$F)</f>
        <v>0</v>
      </c>
      <c r="F39" s="8">
        <f>SUMIF('Commercial Events'!$B:$B,A39,'Commercial Events'!$K:$K)</f>
        <v>0</v>
      </c>
      <c r="G39" s="8">
        <f t="shared" si="3"/>
        <v>0</v>
      </c>
      <c r="H39" s="8">
        <f>SUMIF(Ledger!$B:$B,A39,Ledger!$H:$H)</f>
        <v>0</v>
      </c>
      <c r="I39" s="6">
        <v>0</v>
      </c>
      <c r="J39" s="7">
        <v>0</v>
      </c>
      <c r="K39" s="7">
        <f t="shared" si="4"/>
        <v>0</v>
      </c>
    </row>
    <row r="40" spans="1:11">
      <c r="A40" t="s">
        <v>122</v>
      </c>
      <c r="B40" t="s">
        <v>83</v>
      </c>
      <c r="C40" t="s">
        <v>123</v>
      </c>
      <c r="D40" s="8">
        <f>SUMIF('Original Budget'!$A:$A,A40,'Original Budget'!$E:$E)</f>
        <v>10000</v>
      </c>
      <c r="E40" s="8">
        <f>SUMIF('Package PO Plan'!$B:$B,A40,'Package PO Plan'!$F:$F)</f>
        <v>0</v>
      </c>
      <c r="F40" s="8">
        <f>SUMIF('Commercial Events'!$B:$B,A40,'Commercial Events'!$K:$K)</f>
        <v>0</v>
      </c>
      <c r="G40" s="8">
        <f t="shared" si="3"/>
        <v>0</v>
      </c>
      <c r="H40" s="8">
        <f>SUMIF(Ledger!$B:$B,A40,Ledger!$H:$H)</f>
        <v>0</v>
      </c>
      <c r="I40" s="6">
        <v>0</v>
      </c>
      <c r="J40" s="8">
        <f>'Forecast Adjustments'!F24</f>
        <v>10000</v>
      </c>
      <c r="K40" s="7">
        <f t="shared" si="4"/>
        <v>0</v>
      </c>
    </row>
    <row r="41" spans="1:11">
      <c r="A41" t="s">
        <v>124</v>
      </c>
      <c r="B41" t="s">
        <v>83</v>
      </c>
      <c r="C41" t="s">
        <v>125</v>
      </c>
      <c r="D41" s="8">
        <f>SUMIF('Original Budget'!$A:$A,A41,'Original Budget'!$E:$E)</f>
        <v>7500</v>
      </c>
      <c r="E41" s="8">
        <f>SUMIF('Package PO Plan'!$B:$B,A41,'Package PO Plan'!$F:$F)</f>
        <v>0</v>
      </c>
      <c r="F41" s="8">
        <f>SUMIF('Commercial Events'!$B:$B,A41,'Commercial Events'!$K:$K)</f>
        <v>0</v>
      </c>
      <c r="G41" s="8">
        <f t="shared" si="3"/>
        <v>0</v>
      </c>
      <c r="H41" s="8">
        <f>SUMIF(Ledger!$B:$B,A41,Ledger!$H:$H)</f>
        <v>0</v>
      </c>
      <c r="I41" s="6">
        <v>0</v>
      </c>
      <c r="J41" s="8">
        <f>'Forecast Adjustments'!F25</f>
        <v>7500</v>
      </c>
      <c r="K41" s="7">
        <f t="shared" si="4"/>
        <v>0</v>
      </c>
    </row>
    <row r="42" spans="1:11">
      <c r="A42" t="s">
        <v>126</v>
      </c>
      <c r="B42" t="s">
        <v>83</v>
      </c>
      <c r="C42" t="s">
        <v>127</v>
      </c>
      <c r="D42" s="8">
        <f>SUMIF('Original Budget'!$A:$A,A42,'Original Budget'!$E:$E)</f>
        <v>48000</v>
      </c>
      <c r="E42" s="8">
        <f>SUMIF('Package PO Plan'!$B:$B,A42,'Package PO Plan'!$F:$F)</f>
        <v>0</v>
      </c>
      <c r="F42" s="8">
        <f>SUMIF('Commercial Events'!$B:$B,A42,'Commercial Events'!$K:$K)</f>
        <v>0</v>
      </c>
      <c r="G42" s="8">
        <f t="shared" si="3"/>
        <v>0</v>
      </c>
      <c r="H42" s="8">
        <f>SUMIF(Ledger!$B:$B,A42,Ledger!$H:$H)</f>
        <v>26000</v>
      </c>
      <c r="I42" s="6">
        <v>0</v>
      </c>
      <c r="J42" s="8">
        <f>'Forecast Adjustments'!F26</f>
        <v>48000</v>
      </c>
      <c r="K42" s="7">
        <f t="shared" si="4"/>
        <v>0</v>
      </c>
    </row>
    <row r="43" spans="1:11">
      <c r="A43" t="s">
        <v>128</v>
      </c>
      <c r="B43" t="s">
        <v>83</v>
      </c>
      <c r="C43" t="s">
        <v>130</v>
      </c>
      <c r="D43" s="8">
        <f>SUMIF('Original Budget'!$A:$A,A43,'Original Budget'!$E:$E)</f>
        <v>0</v>
      </c>
      <c r="E43" s="8">
        <f>SUMIF('Package PO Plan'!$B:$B,A43,'Package PO Plan'!$F:$F)</f>
        <v>0</v>
      </c>
      <c r="F43" s="8">
        <f>SUMIF('Commercial Events'!$B:$B,A43,'Commercial Events'!$K:$K)</f>
        <v>0</v>
      </c>
      <c r="G43" s="8">
        <f t="shared" si="3"/>
        <v>0</v>
      </c>
      <c r="H43" s="8">
        <f>SUMIF(Ledger!$B:$B,A43,Ledger!$H:$H)</f>
        <v>0</v>
      </c>
      <c r="I43" s="6">
        <v>0</v>
      </c>
      <c r="J43" s="7">
        <v>0</v>
      </c>
      <c r="K43" s="7">
        <f t="shared" si="4"/>
        <v>0</v>
      </c>
    </row>
    <row r="44" spans="1:11">
      <c r="A44" t="s">
        <v>131</v>
      </c>
      <c r="B44" t="s">
        <v>83</v>
      </c>
      <c r="C44" t="s">
        <v>132</v>
      </c>
      <c r="D44" s="8">
        <f>SUMIF('Original Budget'!$A:$A,A44,'Original Budget'!$E:$E)</f>
        <v>12500</v>
      </c>
      <c r="E44" s="8">
        <f>SUMIF('Package PO Plan'!$B:$B,A44,'Package PO Plan'!$F:$F)</f>
        <v>0</v>
      </c>
      <c r="F44" s="8">
        <f>SUMIF('Commercial Events'!$B:$B,A44,'Commercial Events'!$K:$K)</f>
        <v>0</v>
      </c>
      <c r="G44" s="8">
        <f t="shared" si="3"/>
        <v>0</v>
      </c>
      <c r="H44" s="8">
        <f>SUMIF(Ledger!$B:$B,A44,Ledger!$H:$H)</f>
        <v>0</v>
      </c>
      <c r="I44" s="6">
        <v>0</v>
      </c>
      <c r="J44" s="8">
        <f>'Forecast Adjustments'!F27</f>
        <v>12500</v>
      </c>
      <c r="K44" s="7">
        <f t="shared" si="4"/>
        <v>0</v>
      </c>
    </row>
    <row r="45" spans="1:11">
      <c r="A45" t="s">
        <v>133</v>
      </c>
      <c r="B45" t="s">
        <v>134</v>
      </c>
      <c r="C45" t="s">
        <v>136</v>
      </c>
      <c r="D45" s="8">
        <f>SUMIF('Original Budget'!$A:$A,A45,'Original Budget'!$E:$E)</f>
        <v>95000</v>
      </c>
      <c r="E45" s="8">
        <f>SUMIF('Package PO Plan'!$B:$B,A45,'Package PO Plan'!$F:$F)</f>
        <v>0</v>
      </c>
      <c r="F45" s="8">
        <f>SUMIF('Commercial Events'!$B:$B,A45,'Commercial Events'!$K:$K)</f>
        <v>0</v>
      </c>
      <c r="G45" s="8">
        <f t="shared" si="3"/>
        <v>0</v>
      </c>
      <c r="H45" s="8">
        <f>SUMIF(Ledger!$B:$B,A45,Ledger!$H:$H)</f>
        <v>42000</v>
      </c>
      <c r="I45" s="6">
        <v>0</v>
      </c>
      <c r="J45" s="8">
        <f>'Forecast Adjustments'!F28</f>
        <v>95000</v>
      </c>
      <c r="K45" s="7">
        <f t="shared" si="4"/>
        <v>0</v>
      </c>
    </row>
    <row r="46" spans="1:11">
      <c r="A46" t="s">
        <v>137</v>
      </c>
      <c r="B46" t="s">
        <v>134</v>
      </c>
      <c r="C46" t="s">
        <v>138</v>
      </c>
      <c r="D46" s="8">
        <f>SUMIF('Original Budget'!$A:$A,A46,'Original Budget'!$E:$E)</f>
        <v>55000</v>
      </c>
      <c r="E46" s="8">
        <f>SUMIF('Package PO Plan'!$B:$B,A46,'Package PO Plan'!$F:$F)</f>
        <v>0</v>
      </c>
      <c r="F46" s="8">
        <f>SUMIF('Commercial Events'!$B:$B,A46,'Commercial Events'!$K:$K)</f>
        <v>0</v>
      </c>
      <c r="G46" s="8">
        <f t="shared" si="3"/>
        <v>0</v>
      </c>
      <c r="H46" s="8">
        <f>SUMIF(Ledger!$B:$B,A46,Ledger!$H:$H)</f>
        <v>24000</v>
      </c>
      <c r="I46" s="6">
        <v>0</v>
      </c>
      <c r="J46" s="8">
        <f>'Forecast Adjustments'!F29</f>
        <v>55000</v>
      </c>
      <c r="K46" s="7">
        <f t="shared" si="4"/>
        <v>0</v>
      </c>
    </row>
    <row r="47" spans="1:11">
      <c r="A47" t="s">
        <v>139</v>
      </c>
      <c r="B47" t="s">
        <v>134</v>
      </c>
      <c r="C47" t="s">
        <v>140</v>
      </c>
      <c r="D47" s="8">
        <f>SUMIF('Original Budget'!$A:$A,A47,'Original Budget'!$E:$E)</f>
        <v>12000</v>
      </c>
      <c r="E47" s="8">
        <f>SUMIF('Package PO Plan'!$B:$B,A47,'Package PO Plan'!$F:$F)</f>
        <v>0</v>
      </c>
      <c r="F47" s="8">
        <f>SUMIF('Commercial Events'!$B:$B,A47,'Commercial Events'!$K:$K)</f>
        <v>0</v>
      </c>
      <c r="G47" s="8">
        <f t="shared" si="3"/>
        <v>0</v>
      </c>
      <c r="H47" s="8">
        <f>SUMIF(Ledger!$B:$B,A47,Ledger!$H:$H)</f>
        <v>0</v>
      </c>
      <c r="I47" s="6">
        <v>0</v>
      </c>
      <c r="J47" s="8">
        <f>'Forecast Adjustments'!F30</f>
        <v>12000</v>
      </c>
      <c r="K47" s="7">
        <f t="shared" si="4"/>
        <v>0</v>
      </c>
    </row>
    <row r="48" spans="1:11">
      <c r="A48" t="s">
        <v>141</v>
      </c>
      <c r="B48" t="s">
        <v>134</v>
      </c>
      <c r="C48" t="s">
        <v>142</v>
      </c>
      <c r="D48" s="8">
        <f>SUMIF('Original Budget'!$A:$A,A48,'Original Budget'!$E:$E)</f>
        <v>0</v>
      </c>
      <c r="E48" s="8">
        <f>SUMIF('Package PO Plan'!$B:$B,A48,'Package PO Plan'!$F:$F)</f>
        <v>0</v>
      </c>
      <c r="F48" s="8">
        <f>SUMIF('Commercial Events'!$B:$B,A48,'Commercial Events'!$K:$K)</f>
        <v>0</v>
      </c>
      <c r="G48" s="8">
        <f t="shared" si="3"/>
        <v>0</v>
      </c>
      <c r="H48" s="8">
        <f>SUMIF(Ledger!$B:$B,A48,Ledger!$H:$H)</f>
        <v>0</v>
      </c>
      <c r="I48" s="6">
        <v>0</v>
      </c>
      <c r="J48" s="7">
        <v>0</v>
      </c>
      <c r="K48" s="7">
        <f t="shared" si="4"/>
        <v>0</v>
      </c>
    </row>
    <row r="49" spans="1:11">
      <c r="A49" t="s">
        <v>143</v>
      </c>
      <c r="B49" t="s">
        <v>134</v>
      </c>
      <c r="C49" t="s">
        <v>144</v>
      </c>
      <c r="D49" s="8">
        <f>SUMIF('Original Budget'!$A:$A,A49,'Original Budget'!$E:$E)</f>
        <v>18000</v>
      </c>
      <c r="E49" s="8">
        <f>SUMIF('Package PO Plan'!$B:$B,A49,'Package PO Plan'!$F:$F)</f>
        <v>0</v>
      </c>
      <c r="F49" s="8">
        <f>SUMIF('Commercial Events'!$B:$B,A49,'Commercial Events'!$K:$K)</f>
        <v>0</v>
      </c>
      <c r="G49" s="8">
        <f t="shared" si="3"/>
        <v>0</v>
      </c>
      <c r="H49" s="8">
        <f>SUMIF(Ledger!$B:$B,A49,Ledger!$H:$H)</f>
        <v>0</v>
      </c>
      <c r="I49" s="6">
        <v>0</v>
      </c>
      <c r="J49" s="8">
        <f>'Forecast Adjustments'!F31</f>
        <v>18000</v>
      </c>
      <c r="K49" s="7">
        <f t="shared" si="4"/>
        <v>0</v>
      </c>
    </row>
    <row r="50" spans="1:11">
      <c r="A50" t="s">
        <v>145</v>
      </c>
      <c r="B50" t="s">
        <v>134</v>
      </c>
      <c r="C50" t="s">
        <v>146</v>
      </c>
      <c r="D50" s="8">
        <f>SUMIF('Original Budget'!$A:$A,A50,'Original Budget'!$E:$E)</f>
        <v>9000</v>
      </c>
      <c r="E50" s="8">
        <f>SUMIF('Package PO Plan'!$B:$B,A50,'Package PO Plan'!$F:$F)</f>
        <v>0</v>
      </c>
      <c r="F50" s="8">
        <f>SUMIF('Commercial Events'!$B:$B,A50,'Commercial Events'!$K:$K)</f>
        <v>0</v>
      </c>
      <c r="G50" s="8">
        <f t="shared" si="3"/>
        <v>0</v>
      </c>
      <c r="H50" s="8">
        <f>SUMIF(Ledger!$B:$B,A50,Ledger!$H:$H)</f>
        <v>0</v>
      </c>
      <c r="I50" s="6">
        <v>0</v>
      </c>
      <c r="J50" s="8">
        <f>'Forecast Adjustments'!F32</f>
        <v>9000</v>
      </c>
      <c r="K50" s="7">
        <f t="shared" si="4"/>
        <v>0</v>
      </c>
    </row>
    <row r="51" spans="1:11">
      <c r="A51" t="s">
        <v>147</v>
      </c>
      <c r="B51" t="s">
        <v>134</v>
      </c>
      <c r="C51" t="s">
        <v>148</v>
      </c>
      <c r="D51" s="8">
        <f>SUMIF('Original Budget'!$A:$A,A51,'Original Budget'!$E:$E)</f>
        <v>0</v>
      </c>
      <c r="E51" s="8">
        <f>SUMIF('Package PO Plan'!$B:$B,A51,'Package PO Plan'!$F:$F)</f>
        <v>0</v>
      </c>
      <c r="F51" s="8">
        <f>SUMIF('Commercial Events'!$B:$B,A51,'Commercial Events'!$K:$K)</f>
        <v>0</v>
      </c>
      <c r="G51" s="8">
        <f t="shared" si="3"/>
        <v>0</v>
      </c>
      <c r="H51" s="8">
        <f>SUMIF(Ledger!$B:$B,A51,Ledger!$H:$H)</f>
        <v>0</v>
      </c>
      <c r="I51" s="6">
        <v>0</v>
      </c>
      <c r="J51" s="7">
        <v>0</v>
      </c>
      <c r="K51" s="7">
        <f t="shared" si="4"/>
        <v>0</v>
      </c>
    </row>
    <row r="52" spans="1:11">
      <c r="A52" t="s">
        <v>149</v>
      </c>
      <c r="B52" t="s">
        <v>134</v>
      </c>
      <c r="C52" t="s">
        <v>151</v>
      </c>
      <c r="D52" s="8">
        <f>SUMIF('Original Budget'!$A:$A,A52,'Original Budget'!$E:$E)</f>
        <v>36000</v>
      </c>
      <c r="E52" s="8">
        <f>SUMIF('Package PO Plan'!$B:$B,A52,'Package PO Plan'!$F:$F)</f>
        <v>0</v>
      </c>
      <c r="F52" s="8">
        <f>SUMIF('Commercial Events'!$B:$B,A52,'Commercial Events'!$K:$K)</f>
        <v>0</v>
      </c>
      <c r="G52" s="8">
        <f t="shared" si="3"/>
        <v>0</v>
      </c>
      <c r="H52" s="8">
        <f>SUMIF(Ledger!$B:$B,A52,Ledger!$H:$H)</f>
        <v>12000</v>
      </c>
      <c r="I52" s="6">
        <v>0</v>
      </c>
      <c r="J52" s="8">
        <f>'Forecast Adjustments'!F33</f>
        <v>36000</v>
      </c>
      <c r="K52" s="7">
        <f t="shared" si="4"/>
        <v>0</v>
      </c>
    </row>
    <row r="53" spans="1:11">
      <c r="A53" t="s">
        <v>152</v>
      </c>
      <c r="B53" t="s">
        <v>134</v>
      </c>
      <c r="C53" t="s">
        <v>153</v>
      </c>
      <c r="D53" s="8">
        <f>SUMIF('Original Budget'!$A:$A,A53,'Original Budget'!$E:$E)</f>
        <v>0</v>
      </c>
      <c r="E53" s="8">
        <f>SUMIF('Package PO Plan'!$B:$B,A53,'Package PO Plan'!$F:$F)</f>
        <v>0</v>
      </c>
      <c r="F53" s="8">
        <f>SUMIF('Commercial Events'!$B:$B,A53,'Commercial Events'!$K:$K)</f>
        <v>0</v>
      </c>
      <c r="G53" s="8">
        <f t="shared" si="3"/>
        <v>0</v>
      </c>
      <c r="H53" s="8">
        <f>SUMIF(Ledger!$B:$B,A53,Ledger!$H:$H)</f>
        <v>0</v>
      </c>
      <c r="I53" s="6">
        <v>0</v>
      </c>
      <c r="J53" s="7">
        <v>0</v>
      </c>
      <c r="K53" s="7">
        <f t="shared" si="4"/>
        <v>0</v>
      </c>
    </row>
    <row r="54" spans="1:11">
      <c r="A54" t="s">
        <v>154</v>
      </c>
      <c r="B54" t="s">
        <v>134</v>
      </c>
      <c r="C54" t="s">
        <v>155</v>
      </c>
      <c r="D54" s="8">
        <f>SUMIF('Original Budget'!$A:$A,A54,'Original Budget'!$E:$E)</f>
        <v>30000</v>
      </c>
      <c r="E54" s="8">
        <f>SUMIF('Package PO Plan'!$B:$B,A54,'Package PO Plan'!$F:$F)</f>
        <v>0</v>
      </c>
      <c r="F54" s="8">
        <f>SUMIF('Commercial Events'!$B:$B,A54,'Commercial Events'!$K:$K)</f>
        <v>0</v>
      </c>
      <c r="G54" s="8">
        <f t="shared" si="3"/>
        <v>0</v>
      </c>
      <c r="H54" s="8">
        <f>SUMIF(Ledger!$B:$B,A54,Ledger!$H:$H)</f>
        <v>10000</v>
      </c>
      <c r="I54" s="6">
        <v>0</v>
      </c>
      <c r="J54" s="8">
        <f>'Forecast Adjustments'!F34</f>
        <v>30000</v>
      </c>
      <c r="K54" s="7">
        <f t="shared" si="4"/>
        <v>0</v>
      </c>
    </row>
    <row r="55" spans="1:11">
      <c r="A55" t="s">
        <v>156</v>
      </c>
      <c r="B55" t="s">
        <v>134</v>
      </c>
      <c r="C55" t="s">
        <v>157</v>
      </c>
      <c r="D55" s="8">
        <f>SUMIF('Original Budget'!$A:$A,A55,'Original Budget'!$E:$E)</f>
        <v>0</v>
      </c>
      <c r="E55" s="8">
        <f>SUMIF('Package PO Plan'!$B:$B,A55,'Package PO Plan'!$F:$F)</f>
        <v>0</v>
      </c>
      <c r="F55" s="8">
        <f>SUMIF('Commercial Events'!$B:$B,A55,'Commercial Events'!$K:$K)</f>
        <v>0</v>
      </c>
      <c r="G55" s="8">
        <f t="shared" si="3"/>
        <v>0</v>
      </c>
      <c r="H55" s="8">
        <f>SUMIF(Ledger!$B:$B,A55,Ledger!$H:$H)</f>
        <v>0</v>
      </c>
      <c r="I55" s="6">
        <v>0</v>
      </c>
      <c r="J55" s="7">
        <v>0</v>
      </c>
      <c r="K55" s="7">
        <f t="shared" si="4"/>
        <v>0</v>
      </c>
    </row>
    <row r="56" spans="1:11">
      <c r="A56" t="s">
        <v>158</v>
      </c>
      <c r="B56" t="s">
        <v>134</v>
      </c>
      <c r="C56" t="s">
        <v>160</v>
      </c>
      <c r="D56" s="8">
        <f>SUMIF('Original Budget'!$A:$A,A56,'Original Budget'!$E:$E)</f>
        <v>20000</v>
      </c>
      <c r="E56" s="8">
        <f>SUMIF('Package PO Plan'!$B:$B,A56,'Package PO Plan'!$F:$F)</f>
        <v>0</v>
      </c>
      <c r="F56" s="8">
        <f>SUMIF('Commercial Events'!$B:$B,A56,'Commercial Events'!$K:$K)</f>
        <v>0</v>
      </c>
      <c r="G56" s="8">
        <f t="shared" si="3"/>
        <v>0</v>
      </c>
      <c r="H56" s="8">
        <f>SUMIF(Ledger!$B:$B,A56,Ledger!$H:$H)</f>
        <v>0</v>
      </c>
      <c r="I56" s="6">
        <v>0</v>
      </c>
      <c r="J56" s="8">
        <f>'Forecast Adjustments'!F35</f>
        <v>20000</v>
      </c>
      <c r="K56" s="7">
        <f t="shared" si="4"/>
        <v>0</v>
      </c>
    </row>
    <row r="57" spans="1:11">
      <c r="A57" t="s">
        <v>161</v>
      </c>
      <c r="B57" t="s">
        <v>134</v>
      </c>
      <c r="C57" t="s">
        <v>163</v>
      </c>
      <c r="D57" s="8">
        <f>SUMIF('Original Budget'!$A:$A,A57,'Original Budget'!$E:$E)</f>
        <v>34000</v>
      </c>
      <c r="E57" s="8">
        <f>SUMIF('Package PO Plan'!$B:$B,A57,'Package PO Plan'!$F:$F)</f>
        <v>0</v>
      </c>
      <c r="F57" s="8">
        <f>SUMIF('Commercial Events'!$B:$B,A57,'Commercial Events'!$K:$K)</f>
        <v>0</v>
      </c>
      <c r="G57" s="8">
        <f t="shared" si="3"/>
        <v>0</v>
      </c>
      <c r="H57" s="8">
        <f>SUMIF(Ledger!$B:$B,A57,Ledger!$H:$H)</f>
        <v>14000</v>
      </c>
      <c r="I57" s="6">
        <v>0</v>
      </c>
      <c r="J57" s="8">
        <f>'Forecast Adjustments'!F36</f>
        <v>34000</v>
      </c>
      <c r="K57" s="7">
        <f t="shared" si="4"/>
        <v>0</v>
      </c>
    </row>
    <row r="58" spans="1:11">
      <c r="A58" t="s">
        <v>164</v>
      </c>
      <c r="B58" t="s">
        <v>134</v>
      </c>
      <c r="C58" t="s">
        <v>165</v>
      </c>
      <c r="D58" s="8">
        <f>SUMIF('Original Budget'!$A:$A,A58,'Original Budget'!$E:$E)</f>
        <v>0</v>
      </c>
      <c r="E58" s="8">
        <f>SUMIF('Package PO Plan'!$B:$B,A58,'Package PO Plan'!$F:$F)</f>
        <v>0</v>
      </c>
      <c r="F58" s="8">
        <f>SUMIF('Commercial Events'!$B:$B,A58,'Commercial Events'!$K:$K)</f>
        <v>0</v>
      </c>
      <c r="G58" s="8">
        <f t="shared" si="3"/>
        <v>0</v>
      </c>
      <c r="H58" s="8">
        <f>SUMIF(Ledger!$B:$B,A58,Ledger!$H:$H)</f>
        <v>0</v>
      </c>
      <c r="I58" s="6">
        <v>0</v>
      </c>
      <c r="J58" s="7">
        <v>0</v>
      </c>
      <c r="K58" s="7">
        <f t="shared" si="4"/>
        <v>0</v>
      </c>
    </row>
    <row r="59" spans="1:11">
      <c r="A59" t="s">
        <v>166</v>
      </c>
      <c r="B59" t="s">
        <v>134</v>
      </c>
      <c r="C59" t="s">
        <v>167</v>
      </c>
      <c r="D59" s="8">
        <f>SUMIF('Original Budget'!$A:$A,A59,'Original Budget'!$E:$E)</f>
        <v>28000</v>
      </c>
      <c r="E59" s="8">
        <f>SUMIF('Package PO Plan'!$B:$B,A59,'Package PO Plan'!$F:$F)</f>
        <v>0</v>
      </c>
      <c r="F59" s="8">
        <f>SUMIF('Commercial Events'!$B:$B,A59,'Commercial Events'!$K:$K)</f>
        <v>0</v>
      </c>
      <c r="G59" s="8">
        <f t="shared" si="3"/>
        <v>0</v>
      </c>
      <c r="H59" s="8">
        <f>SUMIF(Ledger!$B:$B,A59,Ledger!$H:$H)</f>
        <v>10000</v>
      </c>
      <c r="I59" s="6">
        <v>0</v>
      </c>
      <c r="J59" s="8">
        <f>'Forecast Adjustments'!F37</f>
        <v>28000</v>
      </c>
      <c r="K59" s="7">
        <f t="shared" si="4"/>
        <v>0</v>
      </c>
    </row>
    <row r="60" spans="1:11">
      <c r="A60" t="s">
        <v>168</v>
      </c>
      <c r="B60" t="s">
        <v>134</v>
      </c>
      <c r="C60" t="s">
        <v>169</v>
      </c>
      <c r="D60" s="8">
        <f>SUMIF('Original Budget'!$A:$A,A60,'Original Budget'!$E:$E)</f>
        <v>18000</v>
      </c>
      <c r="E60" s="8">
        <f>SUMIF('Package PO Plan'!$B:$B,A60,'Package PO Plan'!$F:$F)</f>
        <v>0</v>
      </c>
      <c r="F60" s="8">
        <f>SUMIF('Commercial Events'!$B:$B,A60,'Commercial Events'!$K:$K)</f>
        <v>0</v>
      </c>
      <c r="G60" s="8">
        <f t="shared" si="3"/>
        <v>0</v>
      </c>
      <c r="H60" s="8">
        <f>SUMIF(Ledger!$B:$B,A60,Ledger!$H:$H)</f>
        <v>0</v>
      </c>
      <c r="I60" s="6">
        <v>0</v>
      </c>
      <c r="J60" s="8">
        <f>'Forecast Adjustments'!F38</f>
        <v>18000</v>
      </c>
      <c r="K60" s="7">
        <f t="shared" si="4"/>
        <v>0</v>
      </c>
    </row>
    <row r="61" spans="1:11">
      <c r="A61" t="s">
        <v>170</v>
      </c>
      <c r="B61" t="s">
        <v>134</v>
      </c>
      <c r="C61" t="s">
        <v>171</v>
      </c>
      <c r="D61" s="8">
        <f>SUMIF('Original Budget'!$A:$A,A61,'Original Budget'!$E:$E)</f>
        <v>10000</v>
      </c>
      <c r="E61" s="8">
        <f>SUMIF('Package PO Plan'!$B:$B,A61,'Package PO Plan'!$F:$F)</f>
        <v>0</v>
      </c>
      <c r="F61" s="8">
        <f>SUMIF('Commercial Events'!$B:$B,A61,'Commercial Events'!$K:$K)</f>
        <v>0</v>
      </c>
      <c r="G61" s="8">
        <f t="shared" si="3"/>
        <v>0</v>
      </c>
      <c r="H61" s="8">
        <f>SUMIF(Ledger!$B:$B,A61,Ledger!$H:$H)</f>
        <v>0</v>
      </c>
      <c r="I61" s="6">
        <v>0</v>
      </c>
      <c r="J61" s="8">
        <f>'Forecast Adjustments'!F39</f>
        <v>10000</v>
      </c>
      <c r="K61" s="7">
        <f t="shared" si="4"/>
        <v>0</v>
      </c>
    </row>
    <row r="62" spans="1:11">
      <c r="A62" t="s">
        <v>172</v>
      </c>
      <c r="B62" t="s">
        <v>134</v>
      </c>
      <c r="C62" t="s">
        <v>173</v>
      </c>
      <c r="D62" s="8">
        <f>SUMIF('Original Budget'!$A:$A,A62,'Original Budget'!$E:$E)</f>
        <v>0</v>
      </c>
      <c r="E62" s="8">
        <f>SUMIF('Package PO Plan'!$B:$B,A62,'Package PO Plan'!$F:$F)</f>
        <v>0</v>
      </c>
      <c r="F62" s="8">
        <f>SUMIF('Commercial Events'!$B:$B,A62,'Commercial Events'!$K:$K)</f>
        <v>0</v>
      </c>
      <c r="G62" s="8">
        <f t="shared" si="3"/>
        <v>0</v>
      </c>
      <c r="H62" s="8">
        <f>SUMIF(Ledger!$B:$B,A62,Ledger!$H:$H)</f>
        <v>0</v>
      </c>
      <c r="I62" s="6">
        <v>0</v>
      </c>
      <c r="J62" s="7">
        <v>0</v>
      </c>
      <c r="K62" s="7">
        <f t="shared" si="4"/>
        <v>0</v>
      </c>
    </row>
    <row r="63" spans="1:11">
      <c r="A63" t="s">
        <v>174</v>
      </c>
      <c r="B63" t="s">
        <v>134</v>
      </c>
      <c r="C63" t="s">
        <v>176</v>
      </c>
      <c r="D63" s="8">
        <f>SUMIF('Original Budget'!$A:$A,A63,'Original Budget'!$E:$E)</f>
        <v>22000</v>
      </c>
      <c r="E63" s="8">
        <f>SUMIF('Package PO Plan'!$B:$B,A63,'Package PO Plan'!$F:$F)</f>
        <v>0</v>
      </c>
      <c r="F63" s="8">
        <f>SUMIF('Commercial Events'!$B:$B,A63,'Commercial Events'!$K:$K)</f>
        <v>0</v>
      </c>
      <c r="G63" s="8">
        <f t="shared" si="3"/>
        <v>0</v>
      </c>
      <c r="H63" s="8">
        <f>SUMIF(Ledger!$B:$B,A63,Ledger!$H:$H)</f>
        <v>9000</v>
      </c>
      <c r="I63" s="6">
        <v>0</v>
      </c>
      <c r="J63" s="8">
        <f>'Forecast Adjustments'!F40</f>
        <v>22000</v>
      </c>
      <c r="K63" s="7">
        <f t="shared" si="4"/>
        <v>0</v>
      </c>
    </row>
    <row r="64" spans="1:11">
      <c r="A64" t="s">
        <v>177</v>
      </c>
      <c r="B64" t="s">
        <v>134</v>
      </c>
      <c r="C64" t="s">
        <v>178</v>
      </c>
      <c r="D64" s="8">
        <f>SUMIF('Original Budget'!$A:$A,A64,'Original Budget'!$E:$E)</f>
        <v>0</v>
      </c>
      <c r="E64" s="8">
        <f>SUMIF('Package PO Plan'!$B:$B,A64,'Package PO Plan'!$F:$F)</f>
        <v>0</v>
      </c>
      <c r="F64" s="8">
        <f>SUMIF('Commercial Events'!$B:$B,A64,'Commercial Events'!$K:$K)</f>
        <v>0</v>
      </c>
      <c r="G64" s="8">
        <f t="shared" si="3"/>
        <v>0</v>
      </c>
      <c r="H64" s="8">
        <f>SUMIF(Ledger!$B:$B,A64,Ledger!$H:$H)</f>
        <v>0</v>
      </c>
      <c r="I64" s="6">
        <v>0</v>
      </c>
      <c r="J64" s="7">
        <v>0</v>
      </c>
      <c r="K64" s="7">
        <f t="shared" si="4"/>
        <v>0</v>
      </c>
    </row>
    <row r="65" spans="1:11">
      <c r="A65" t="s">
        <v>179</v>
      </c>
      <c r="B65" t="s">
        <v>134</v>
      </c>
      <c r="C65" t="s">
        <v>181</v>
      </c>
      <c r="D65" s="8">
        <f>SUMIF('Original Budget'!$A:$A,A65,'Original Budget'!$E:$E)</f>
        <v>18000</v>
      </c>
      <c r="E65" s="8">
        <f>SUMIF('Package PO Plan'!$B:$B,A65,'Package PO Plan'!$F:$F)</f>
        <v>0</v>
      </c>
      <c r="F65" s="8">
        <f>SUMIF('Commercial Events'!$B:$B,A65,'Commercial Events'!$K:$K)</f>
        <v>0</v>
      </c>
      <c r="G65" s="8">
        <f t="shared" si="3"/>
        <v>0</v>
      </c>
      <c r="H65" s="8">
        <f>SUMIF(Ledger!$B:$B,A65,Ledger!$H:$H)</f>
        <v>7000</v>
      </c>
      <c r="I65" s="6">
        <v>0</v>
      </c>
      <c r="J65" s="8">
        <f>'Forecast Adjustments'!F41</f>
        <v>18000</v>
      </c>
      <c r="K65" s="7">
        <f t="shared" si="4"/>
        <v>0</v>
      </c>
    </row>
    <row r="66" spans="1:11">
      <c r="A66" t="s">
        <v>182</v>
      </c>
      <c r="B66" t="s">
        <v>134</v>
      </c>
      <c r="C66" t="s">
        <v>183</v>
      </c>
      <c r="D66" s="8">
        <f>SUMIF('Original Budget'!$A:$A,A66,'Original Budget'!$E:$E)</f>
        <v>7500</v>
      </c>
      <c r="E66" s="8">
        <f>SUMIF('Package PO Plan'!$B:$B,A66,'Package PO Plan'!$F:$F)</f>
        <v>0</v>
      </c>
      <c r="F66" s="8">
        <f>SUMIF('Commercial Events'!$B:$B,A66,'Commercial Events'!$K:$K)</f>
        <v>0</v>
      </c>
      <c r="G66" s="8">
        <f t="shared" si="3"/>
        <v>0</v>
      </c>
      <c r="H66" s="8">
        <f>SUMIF(Ledger!$B:$B,A66,Ledger!$H:$H)</f>
        <v>2500</v>
      </c>
      <c r="I66" s="6">
        <v>0</v>
      </c>
      <c r="J66" s="8">
        <f>'Forecast Adjustments'!F42</f>
        <v>7500</v>
      </c>
      <c r="K66" s="7">
        <f t="shared" si="4"/>
        <v>0</v>
      </c>
    </row>
    <row r="67" spans="1:11">
      <c r="A67" t="s">
        <v>184</v>
      </c>
      <c r="B67" t="s">
        <v>134</v>
      </c>
      <c r="C67" t="s">
        <v>185</v>
      </c>
      <c r="D67" s="8">
        <f>SUMIF('Original Budget'!$A:$A,A67,'Original Budget'!$E:$E)</f>
        <v>0</v>
      </c>
      <c r="E67" s="8">
        <f>SUMIF('Package PO Plan'!$B:$B,A67,'Package PO Plan'!$F:$F)</f>
        <v>0</v>
      </c>
      <c r="F67" s="8">
        <f>SUMIF('Commercial Events'!$B:$B,A67,'Commercial Events'!$K:$K)</f>
        <v>0</v>
      </c>
      <c r="G67" s="8">
        <f t="shared" si="3"/>
        <v>0</v>
      </c>
      <c r="H67" s="8">
        <f>SUMIF(Ledger!$B:$B,A67,Ledger!$H:$H)</f>
        <v>0</v>
      </c>
      <c r="I67" s="6">
        <v>0</v>
      </c>
      <c r="J67" s="7">
        <v>0</v>
      </c>
      <c r="K67" s="7">
        <f t="shared" si="4"/>
        <v>0</v>
      </c>
    </row>
    <row r="68" spans="1:11">
      <c r="A68" t="s">
        <v>186</v>
      </c>
      <c r="B68" t="s">
        <v>134</v>
      </c>
      <c r="C68" t="s">
        <v>187</v>
      </c>
      <c r="D68" s="8">
        <f>SUMIF('Original Budget'!$A:$A,A68,'Original Budget'!$E:$E)</f>
        <v>0</v>
      </c>
      <c r="E68" s="8">
        <f>SUMIF('Package PO Plan'!$B:$B,A68,'Package PO Plan'!$F:$F)</f>
        <v>0</v>
      </c>
      <c r="F68" s="8">
        <f>SUMIF('Commercial Events'!$B:$B,A68,'Commercial Events'!$K:$K)</f>
        <v>0</v>
      </c>
      <c r="G68" s="8">
        <f t="shared" si="3"/>
        <v>0</v>
      </c>
      <c r="H68" s="8">
        <f>SUMIF(Ledger!$B:$B,A68,Ledger!$H:$H)</f>
        <v>0</v>
      </c>
      <c r="I68" s="6">
        <v>0</v>
      </c>
      <c r="J68" s="7">
        <v>0</v>
      </c>
      <c r="K68" s="7">
        <f t="shared" si="4"/>
        <v>0</v>
      </c>
    </row>
    <row r="69" spans="1:11">
      <c r="A69" t="s">
        <v>188</v>
      </c>
      <c r="B69" t="s">
        <v>134</v>
      </c>
      <c r="C69" t="s">
        <v>189</v>
      </c>
      <c r="D69" s="8">
        <f>SUMIF('Original Budget'!$A:$A,A69,'Original Budget'!$E:$E)</f>
        <v>8000</v>
      </c>
      <c r="E69" s="8">
        <f>SUMIF('Package PO Plan'!$B:$B,A69,'Package PO Plan'!$F:$F)</f>
        <v>0</v>
      </c>
      <c r="F69" s="8">
        <f>SUMIF('Commercial Events'!$B:$B,A69,'Commercial Events'!$K:$K)</f>
        <v>0</v>
      </c>
      <c r="G69" s="8">
        <f t="shared" si="3"/>
        <v>0</v>
      </c>
      <c r="H69" s="8">
        <f>SUMIF(Ledger!$B:$B,A69,Ledger!$H:$H)</f>
        <v>0</v>
      </c>
      <c r="I69" s="6">
        <v>0</v>
      </c>
      <c r="J69" s="8">
        <f>'Forecast Adjustments'!F43</f>
        <v>8000</v>
      </c>
      <c r="K69" s="7">
        <f t="shared" si="4"/>
        <v>0</v>
      </c>
    </row>
    <row r="70" spans="1:11">
      <c r="A70" t="s">
        <v>190</v>
      </c>
      <c r="B70" t="s">
        <v>134</v>
      </c>
      <c r="C70" t="s">
        <v>191</v>
      </c>
      <c r="D70" s="8">
        <f>SUMIF('Original Budget'!$A:$A,A70,'Original Budget'!$E:$E)</f>
        <v>15000</v>
      </c>
      <c r="E70" s="8">
        <f>SUMIF('Package PO Plan'!$B:$B,A70,'Package PO Plan'!$F:$F)</f>
        <v>0</v>
      </c>
      <c r="F70" s="8">
        <f>SUMIF('Commercial Events'!$B:$B,A70,'Commercial Events'!$K:$K)</f>
        <v>0</v>
      </c>
      <c r="G70" s="8">
        <f t="shared" si="3"/>
        <v>0</v>
      </c>
      <c r="H70" s="8">
        <f>SUMIF(Ledger!$B:$B,A70,Ledger!$H:$H)</f>
        <v>0</v>
      </c>
      <c r="I70" s="6">
        <v>0</v>
      </c>
      <c r="J70" s="8">
        <f>'Forecast Adjustments'!F44</f>
        <v>15000</v>
      </c>
      <c r="K70" s="7">
        <f t="shared" si="4"/>
        <v>0</v>
      </c>
    </row>
    <row r="71" spans="1:11">
      <c r="A71" t="s">
        <v>192</v>
      </c>
      <c r="B71" t="s">
        <v>134</v>
      </c>
      <c r="C71" t="s">
        <v>193</v>
      </c>
      <c r="D71" s="8">
        <f>SUMIF('Original Budget'!$A:$A,A71,'Original Budget'!$E:$E)</f>
        <v>0</v>
      </c>
      <c r="E71" s="8">
        <f>SUMIF('Package PO Plan'!$B:$B,A71,'Package PO Plan'!$F:$F)</f>
        <v>0</v>
      </c>
      <c r="F71" s="8">
        <f>SUMIF('Commercial Events'!$B:$B,A71,'Commercial Events'!$K:$K)</f>
        <v>0</v>
      </c>
      <c r="G71" s="8">
        <f t="shared" si="3"/>
        <v>0</v>
      </c>
      <c r="H71" s="8">
        <f>SUMIF(Ledger!$B:$B,A71,Ledger!$H:$H)</f>
        <v>0</v>
      </c>
      <c r="I71" s="6">
        <v>0</v>
      </c>
      <c r="J71" s="7">
        <v>0</v>
      </c>
      <c r="K71" s="7">
        <f t="shared" si="4"/>
        <v>0</v>
      </c>
    </row>
    <row r="72" spans="1:11">
      <c r="A72" t="s">
        <v>194</v>
      </c>
      <c r="B72" t="s">
        <v>134</v>
      </c>
      <c r="C72" t="s">
        <v>195</v>
      </c>
      <c r="D72" s="8">
        <f>SUMIF('Original Budget'!$A:$A,A72,'Original Budget'!$E:$E)</f>
        <v>12000</v>
      </c>
      <c r="E72" s="8">
        <f>SUMIF('Package PO Plan'!$B:$B,A72,'Package PO Plan'!$F:$F)</f>
        <v>0</v>
      </c>
      <c r="F72" s="8">
        <f>SUMIF('Commercial Events'!$B:$B,A72,'Commercial Events'!$K:$K)</f>
        <v>0</v>
      </c>
      <c r="G72" s="8">
        <f t="shared" si="3"/>
        <v>0</v>
      </c>
      <c r="H72" s="8">
        <f>SUMIF(Ledger!$B:$B,A72,Ledger!$H:$H)</f>
        <v>4000</v>
      </c>
      <c r="I72" s="6">
        <v>0</v>
      </c>
      <c r="J72" s="8">
        <f>'Forecast Adjustments'!F45</f>
        <v>12000</v>
      </c>
      <c r="K72" s="7">
        <f t="shared" si="4"/>
        <v>0</v>
      </c>
    </row>
    <row r="73" spans="1:11">
      <c r="A73" t="s">
        <v>196</v>
      </c>
      <c r="B73" t="s">
        <v>134</v>
      </c>
      <c r="C73" t="s">
        <v>197</v>
      </c>
      <c r="D73" s="8">
        <f>SUMIF('Original Budget'!$A:$A,A73,'Original Budget'!$E:$E)</f>
        <v>0</v>
      </c>
      <c r="E73" s="8">
        <f>SUMIF('Package PO Plan'!$B:$B,A73,'Package PO Plan'!$F:$F)</f>
        <v>0</v>
      </c>
      <c r="F73" s="8">
        <f>SUMIF('Commercial Events'!$B:$B,A73,'Commercial Events'!$K:$K)</f>
        <v>0</v>
      </c>
      <c r="G73" s="8">
        <f t="shared" si="3"/>
        <v>0</v>
      </c>
      <c r="H73" s="8">
        <f>SUMIF(Ledger!$B:$B,A73,Ledger!$H:$H)</f>
        <v>0</v>
      </c>
      <c r="I73" s="6">
        <v>0</v>
      </c>
      <c r="J73" s="7">
        <v>0</v>
      </c>
      <c r="K73" s="7">
        <f t="shared" si="4"/>
        <v>0</v>
      </c>
    </row>
    <row r="74" spans="1:11">
      <c r="A74" t="s">
        <v>198</v>
      </c>
      <c r="B74" t="s">
        <v>134</v>
      </c>
      <c r="C74" t="s">
        <v>199</v>
      </c>
      <c r="D74" s="8">
        <f>SUMIF('Original Budget'!$A:$A,A74,'Original Budget'!$E:$E)</f>
        <v>0</v>
      </c>
      <c r="E74" s="8">
        <f>SUMIF('Package PO Plan'!$B:$B,A74,'Package PO Plan'!$F:$F)</f>
        <v>0</v>
      </c>
      <c r="F74" s="8">
        <f>SUMIF('Commercial Events'!$B:$B,A74,'Commercial Events'!$K:$K)</f>
        <v>0</v>
      </c>
      <c r="G74" s="8">
        <f t="shared" si="3"/>
        <v>0</v>
      </c>
      <c r="H74" s="8">
        <f>SUMIF(Ledger!$B:$B,A74,Ledger!$H:$H)</f>
        <v>0</v>
      </c>
      <c r="I74" s="6">
        <v>0</v>
      </c>
      <c r="J74" s="7">
        <v>0</v>
      </c>
      <c r="K74" s="7">
        <f t="shared" si="4"/>
        <v>0</v>
      </c>
    </row>
    <row r="75" spans="1:11">
      <c r="A75" t="s">
        <v>200</v>
      </c>
      <c r="B75" t="s">
        <v>134</v>
      </c>
      <c r="C75" t="s">
        <v>201</v>
      </c>
      <c r="D75" s="8">
        <f>SUMIF('Original Budget'!$A:$A,A75,'Original Budget'!$E:$E)</f>
        <v>0</v>
      </c>
      <c r="E75" s="8">
        <f>SUMIF('Package PO Plan'!$B:$B,A75,'Package PO Plan'!$F:$F)</f>
        <v>0</v>
      </c>
      <c r="F75" s="8">
        <f>SUMIF('Commercial Events'!$B:$B,A75,'Commercial Events'!$K:$K)</f>
        <v>0</v>
      </c>
      <c r="G75" s="8">
        <f t="shared" si="3"/>
        <v>0</v>
      </c>
      <c r="H75" s="8">
        <f>SUMIF(Ledger!$B:$B,A75,Ledger!$H:$H)</f>
        <v>0</v>
      </c>
      <c r="I75" s="6">
        <v>0</v>
      </c>
      <c r="J75" s="7">
        <v>0</v>
      </c>
      <c r="K75" s="7">
        <f t="shared" si="4"/>
        <v>0</v>
      </c>
    </row>
    <row r="76" spans="1:11">
      <c r="A76" t="s">
        <v>202</v>
      </c>
      <c r="B76" t="s">
        <v>134</v>
      </c>
      <c r="C76" t="s">
        <v>203</v>
      </c>
      <c r="D76" s="8">
        <f>SUMIF('Original Budget'!$A:$A,A76,'Original Budget'!$E:$E)</f>
        <v>10000</v>
      </c>
      <c r="E76" s="8">
        <f>SUMIF('Package PO Plan'!$B:$B,A76,'Package PO Plan'!$F:$F)</f>
        <v>0</v>
      </c>
      <c r="F76" s="8">
        <f>SUMIF('Commercial Events'!$B:$B,A76,'Commercial Events'!$K:$K)</f>
        <v>0</v>
      </c>
      <c r="G76" s="8">
        <f t="shared" si="3"/>
        <v>0</v>
      </c>
      <c r="H76" s="8">
        <f>SUMIF(Ledger!$B:$B,A76,Ledger!$H:$H)</f>
        <v>0</v>
      </c>
      <c r="I76" s="6">
        <v>0</v>
      </c>
      <c r="J76" s="8">
        <f>'Forecast Adjustments'!F46</f>
        <v>10000</v>
      </c>
      <c r="K76" s="7">
        <f t="shared" si="4"/>
        <v>0</v>
      </c>
    </row>
    <row r="77" spans="1:11">
      <c r="A77" t="s">
        <v>204</v>
      </c>
      <c r="B77" t="s">
        <v>134</v>
      </c>
      <c r="C77" t="s">
        <v>205</v>
      </c>
      <c r="D77" s="8">
        <f>SUMIF('Original Budget'!$A:$A,A77,'Original Budget'!$E:$E)</f>
        <v>0</v>
      </c>
      <c r="E77" s="8">
        <f>SUMIF('Package PO Plan'!$B:$B,A77,'Package PO Plan'!$F:$F)</f>
        <v>0</v>
      </c>
      <c r="F77" s="8">
        <f>SUMIF('Commercial Events'!$B:$B,A77,'Commercial Events'!$K:$K)</f>
        <v>0</v>
      </c>
      <c r="G77" s="8">
        <f t="shared" si="3"/>
        <v>0</v>
      </c>
      <c r="H77" s="8">
        <f>SUMIF(Ledger!$B:$B,A77,Ledger!$H:$H)</f>
        <v>0</v>
      </c>
      <c r="I77" s="6">
        <v>0</v>
      </c>
      <c r="J77" s="7">
        <v>0</v>
      </c>
      <c r="K77" s="7">
        <f t="shared" si="4"/>
        <v>0</v>
      </c>
    </row>
    <row r="78" spans="1:11">
      <c r="A78" t="s">
        <v>206</v>
      </c>
      <c r="B78" t="s">
        <v>134</v>
      </c>
      <c r="C78" t="s">
        <v>207</v>
      </c>
      <c r="D78" s="8">
        <f>SUMIF('Original Budget'!$A:$A,A78,'Original Budget'!$E:$E)</f>
        <v>14000</v>
      </c>
      <c r="E78" s="8">
        <f>SUMIF('Package PO Plan'!$B:$B,A78,'Package PO Plan'!$F:$F)</f>
        <v>0</v>
      </c>
      <c r="F78" s="8">
        <f>SUMIF('Commercial Events'!$B:$B,A78,'Commercial Events'!$K:$K)</f>
        <v>0</v>
      </c>
      <c r="G78" s="8">
        <f t="shared" ref="G78:G141" si="5">E78+F78</f>
        <v>0</v>
      </c>
      <c r="H78" s="8">
        <f>SUMIF(Ledger!$B:$B,A78,Ledger!$H:$H)</f>
        <v>0</v>
      </c>
      <c r="I78" s="6">
        <v>0</v>
      </c>
      <c r="J78" s="8">
        <f>'Forecast Adjustments'!F47</f>
        <v>14000</v>
      </c>
      <c r="K78" s="7">
        <f t="shared" ref="K78:K141" si="6">D78-J78</f>
        <v>0</v>
      </c>
    </row>
    <row r="79" spans="1:11">
      <c r="A79" t="s">
        <v>208</v>
      </c>
      <c r="B79" t="s">
        <v>134</v>
      </c>
      <c r="C79" t="s">
        <v>209</v>
      </c>
      <c r="D79" s="8">
        <f>SUMIF('Original Budget'!$A:$A,A79,'Original Budget'!$E:$E)</f>
        <v>15000</v>
      </c>
      <c r="E79" s="8">
        <f>SUMIF('Package PO Plan'!$B:$B,A79,'Package PO Plan'!$F:$F)</f>
        <v>0</v>
      </c>
      <c r="F79" s="8">
        <f>SUMIF('Commercial Events'!$B:$B,A79,'Commercial Events'!$K:$K)</f>
        <v>0</v>
      </c>
      <c r="G79" s="8">
        <f t="shared" si="5"/>
        <v>0</v>
      </c>
      <c r="H79" s="8">
        <f>SUMIF(Ledger!$B:$B,A79,Ledger!$H:$H)</f>
        <v>5000</v>
      </c>
      <c r="I79" s="6">
        <v>0</v>
      </c>
      <c r="J79" s="8">
        <f>'Forecast Adjustments'!F48</f>
        <v>15000</v>
      </c>
      <c r="K79" s="7">
        <f t="shared" si="6"/>
        <v>0</v>
      </c>
    </row>
    <row r="80" spans="1:11">
      <c r="A80" t="s">
        <v>210</v>
      </c>
      <c r="B80" t="s">
        <v>134</v>
      </c>
      <c r="C80" t="s">
        <v>211</v>
      </c>
      <c r="D80" s="8">
        <f>SUMIF('Original Budget'!$A:$A,A80,'Original Budget'!$E:$E)</f>
        <v>0</v>
      </c>
      <c r="E80" s="8">
        <f>SUMIF('Package PO Plan'!$B:$B,A80,'Package PO Plan'!$F:$F)</f>
        <v>0</v>
      </c>
      <c r="F80" s="8">
        <f>SUMIF('Commercial Events'!$B:$B,A80,'Commercial Events'!$K:$K)</f>
        <v>0</v>
      </c>
      <c r="G80" s="8">
        <f t="shared" si="5"/>
        <v>0</v>
      </c>
      <c r="H80" s="8">
        <f>SUMIF(Ledger!$B:$B,A80,Ledger!$H:$H)</f>
        <v>0</v>
      </c>
      <c r="I80" s="6">
        <v>0</v>
      </c>
      <c r="J80" s="7">
        <v>0</v>
      </c>
      <c r="K80" s="7">
        <f t="shared" si="6"/>
        <v>0</v>
      </c>
    </row>
    <row r="81" spans="1:12">
      <c r="A81" t="s">
        <v>212</v>
      </c>
      <c r="B81" t="s">
        <v>134</v>
      </c>
      <c r="C81" t="s">
        <v>214</v>
      </c>
      <c r="D81" s="8">
        <f>SUMIF('Original Budget'!$A:$A,A81,'Original Budget'!$E:$E)</f>
        <v>30000</v>
      </c>
      <c r="E81" s="8">
        <f>SUMIF('Package PO Plan'!$B:$B,A81,'Package PO Plan'!$F:$F)</f>
        <v>0</v>
      </c>
      <c r="F81" s="8">
        <f>SUMIF('Commercial Events'!$B:$B,A81,'Commercial Events'!$K:$K)</f>
        <v>0</v>
      </c>
      <c r="G81" s="8">
        <f t="shared" si="5"/>
        <v>0</v>
      </c>
      <c r="H81" s="8">
        <f>SUMIF(Ledger!$B:$B,A81,Ledger!$H:$H)</f>
        <v>0</v>
      </c>
      <c r="I81" s="6">
        <v>0</v>
      </c>
      <c r="J81" s="8">
        <f>'Forecast Adjustments'!F49</f>
        <v>20000</v>
      </c>
      <c r="K81" s="7">
        <f t="shared" si="6"/>
        <v>10000</v>
      </c>
      <c r="L81" t="s">
        <v>512</v>
      </c>
    </row>
    <row r="82" spans="1:12">
      <c r="A82" t="s">
        <v>215</v>
      </c>
      <c r="B82" t="s">
        <v>216</v>
      </c>
      <c r="C82" t="s">
        <v>217</v>
      </c>
      <c r="D82" s="8">
        <f>SUMIF('Original Budget'!$A:$A,A82,'Original Budget'!$E:$E)</f>
        <v>120000</v>
      </c>
      <c r="E82" s="8">
        <f>SUMIF('Package PO Plan'!$B:$B,A82,'Package PO Plan'!$F:$F)</f>
        <v>115000</v>
      </c>
      <c r="F82" s="8">
        <f>SUMIF('Commercial Events'!$B:$B,A82,'Commercial Events'!$K:$K)</f>
        <v>35000</v>
      </c>
      <c r="G82" s="8">
        <f t="shared" si="5"/>
        <v>150000</v>
      </c>
      <c r="H82" s="8">
        <f>SUMIF(Ledger!$B:$B,A82,Ledger!$H:$H)</f>
        <v>112000</v>
      </c>
      <c r="I82" s="6">
        <v>97000</v>
      </c>
      <c r="J82" s="8">
        <f>'Forecast Adjustments'!F50</f>
        <v>155000</v>
      </c>
      <c r="K82" s="7">
        <f t="shared" si="6"/>
        <v>-35000</v>
      </c>
      <c r="L82" t="s">
        <v>513</v>
      </c>
    </row>
    <row r="83" spans="1:12">
      <c r="A83" t="s">
        <v>218</v>
      </c>
      <c r="B83" t="s">
        <v>216</v>
      </c>
      <c r="C83" t="s">
        <v>219</v>
      </c>
      <c r="D83" s="8">
        <f>SUMIF('Original Budget'!$A:$A,A83,'Original Budget'!$E:$E)</f>
        <v>35000</v>
      </c>
      <c r="E83" s="8">
        <f>SUMIF('Package PO Plan'!$B:$B,A83,'Package PO Plan'!$F:$F)</f>
        <v>0</v>
      </c>
      <c r="F83" s="8">
        <f>SUMIF('Commercial Events'!$B:$B,A83,'Commercial Events'!$K:$K)</f>
        <v>0</v>
      </c>
      <c r="G83" s="8">
        <f t="shared" si="5"/>
        <v>0</v>
      </c>
      <c r="H83" s="8">
        <f>SUMIF(Ledger!$B:$B,A83,Ledger!$H:$H)</f>
        <v>18000</v>
      </c>
      <c r="I83" s="6">
        <v>0</v>
      </c>
      <c r="J83" s="8">
        <f>'Forecast Adjustments'!F51</f>
        <v>35000</v>
      </c>
      <c r="K83" s="7">
        <f t="shared" si="6"/>
        <v>0</v>
      </c>
    </row>
    <row r="84" spans="1:12">
      <c r="A84" t="s">
        <v>220</v>
      </c>
      <c r="B84" t="s">
        <v>216</v>
      </c>
      <c r="C84" t="s">
        <v>221</v>
      </c>
      <c r="D84" s="8">
        <f>SUMIF('Original Budget'!$A:$A,A84,'Original Budget'!$E:$E)</f>
        <v>55000</v>
      </c>
      <c r="E84" s="8">
        <f>SUMIF('Package PO Plan'!$B:$B,A84,'Package PO Plan'!$F:$F)</f>
        <v>0</v>
      </c>
      <c r="F84" s="8">
        <f>SUMIF('Commercial Events'!$B:$B,A84,'Commercial Events'!$K:$K)</f>
        <v>0</v>
      </c>
      <c r="G84" s="8">
        <f t="shared" si="5"/>
        <v>0</v>
      </c>
      <c r="H84" s="8">
        <f>SUMIF(Ledger!$B:$B,A84,Ledger!$H:$H)</f>
        <v>18000</v>
      </c>
      <c r="I84" s="6">
        <v>0</v>
      </c>
      <c r="J84" s="8">
        <f>'Forecast Adjustments'!F52</f>
        <v>55000</v>
      </c>
      <c r="K84" s="7">
        <f t="shared" si="6"/>
        <v>0</v>
      </c>
    </row>
    <row r="85" spans="1:12">
      <c r="A85" t="s">
        <v>222</v>
      </c>
      <c r="B85" t="s">
        <v>216</v>
      </c>
      <c r="C85" t="s">
        <v>223</v>
      </c>
      <c r="D85" s="8">
        <f>SUMIF('Original Budget'!$A:$A,A85,'Original Budget'!$E:$E)</f>
        <v>0</v>
      </c>
      <c r="E85" s="8">
        <f>SUMIF('Package PO Plan'!$B:$B,A85,'Package PO Plan'!$F:$F)</f>
        <v>0</v>
      </c>
      <c r="F85" s="8">
        <f>SUMIF('Commercial Events'!$B:$B,A85,'Commercial Events'!$K:$K)</f>
        <v>0</v>
      </c>
      <c r="G85" s="8">
        <f t="shared" si="5"/>
        <v>0</v>
      </c>
      <c r="H85" s="8">
        <f>SUMIF(Ledger!$B:$B,A85,Ledger!$H:$H)</f>
        <v>0</v>
      </c>
      <c r="I85" s="6">
        <v>0</v>
      </c>
      <c r="J85" s="7">
        <v>0</v>
      </c>
      <c r="K85" s="7">
        <f t="shared" si="6"/>
        <v>0</v>
      </c>
    </row>
    <row r="86" spans="1:12">
      <c r="A86" t="s">
        <v>224</v>
      </c>
      <c r="B86" t="s">
        <v>216</v>
      </c>
      <c r="C86" t="s">
        <v>225</v>
      </c>
      <c r="D86" s="8">
        <f>SUMIF('Original Budget'!$A:$A,A86,'Original Budget'!$E:$E)</f>
        <v>0</v>
      </c>
      <c r="E86" s="8">
        <f>SUMIF('Package PO Plan'!$B:$B,A86,'Package PO Plan'!$F:$F)</f>
        <v>0</v>
      </c>
      <c r="F86" s="8">
        <f>SUMIF('Commercial Events'!$B:$B,A86,'Commercial Events'!$K:$K)</f>
        <v>0</v>
      </c>
      <c r="G86" s="8">
        <f t="shared" si="5"/>
        <v>0</v>
      </c>
      <c r="H86" s="8">
        <f>SUMIF(Ledger!$B:$B,A86,Ledger!$H:$H)</f>
        <v>0</v>
      </c>
      <c r="I86" s="6">
        <v>0</v>
      </c>
      <c r="J86" s="7">
        <v>0</v>
      </c>
      <c r="K86" s="7">
        <f t="shared" si="6"/>
        <v>0</v>
      </c>
    </row>
    <row r="87" spans="1:12">
      <c r="A87" t="s">
        <v>226</v>
      </c>
      <c r="B87" t="s">
        <v>216</v>
      </c>
      <c r="C87" t="s">
        <v>227</v>
      </c>
      <c r="D87" s="8">
        <f>SUMIF('Original Budget'!$A:$A,A87,'Original Budget'!$E:$E)</f>
        <v>0</v>
      </c>
      <c r="E87" s="8">
        <f>SUMIF('Package PO Plan'!$B:$B,A87,'Package PO Plan'!$F:$F)</f>
        <v>0</v>
      </c>
      <c r="F87" s="8">
        <f>SUMIF('Commercial Events'!$B:$B,A87,'Commercial Events'!$K:$K)</f>
        <v>0</v>
      </c>
      <c r="G87" s="8">
        <f t="shared" si="5"/>
        <v>0</v>
      </c>
      <c r="H87" s="8">
        <f>SUMIF(Ledger!$B:$B,A87,Ledger!$H:$H)</f>
        <v>0</v>
      </c>
      <c r="I87" s="6">
        <v>0</v>
      </c>
      <c r="J87" s="7">
        <v>0</v>
      </c>
      <c r="K87" s="7">
        <f t="shared" si="6"/>
        <v>0</v>
      </c>
    </row>
    <row r="88" spans="1:12">
      <c r="A88" t="s">
        <v>228</v>
      </c>
      <c r="B88" t="s">
        <v>216</v>
      </c>
      <c r="C88" t="s">
        <v>229</v>
      </c>
      <c r="D88" s="8">
        <f>SUMIF('Original Budget'!$A:$A,A88,'Original Budget'!$E:$E)</f>
        <v>20000</v>
      </c>
      <c r="E88" s="8">
        <f>SUMIF('Package PO Plan'!$B:$B,A88,'Package PO Plan'!$F:$F)</f>
        <v>0</v>
      </c>
      <c r="F88" s="8">
        <f>SUMIF('Commercial Events'!$B:$B,A88,'Commercial Events'!$K:$K)</f>
        <v>0</v>
      </c>
      <c r="G88" s="8">
        <f t="shared" si="5"/>
        <v>0</v>
      </c>
      <c r="H88" s="8">
        <f>SUMIF(Ledger!$B:$B,A88,Ledger!$H:$H)</f>
        <v>0</v>
      </c>
      <c r="I88" s="6">
        <v>0</v>
      </c>
      <c r="J88" s="8">
        <f>'Forecast Adjustments'!F53</f>
        <v>20000</v>
      </c>
      <c r="K88" s="7">
        <f t="shared" si="6"/>
        <v>0</v>
      </c>
    </row>
    <row r="89" spans="1:12">
      <c r="A89" t="s">
        <v>230</v>
      </c>
      <c r="B89" t="s">
        <v>216</v>
      </c>
      <c r="C89" t="s">
        <v>231</v>
      </c>
      <c r="D89" s="8">
        <f>SUMIF('Original Budget'!$A:$A,A89,'Original Budget'!$E:$E)</f>
        <v>55000</v>
      </c>
      <c r="E89" s="8">
        <f>SUMIF('Package PO Plan'!$B:$B,A89,'Package PO Plan'!$F:$F)</f>
        <v>0</v>
      </c>
      <c r="F89" s="8">
        <f>SUMIF('Commercial Events'!$B:$B,A89,'Commercial Events'!$K:$K)</f>
        <v>0</v>
      </c>
      <c r="G89" s="8">
        <f t="shared" si="5"/>
        <v>0</v>
      </c>
      <c r="H89" s="8">
        <f>SUMIF(Ledger!$B:$B,A89,Ledger!$H:$H)</f>
        <v>22000</v>
      </c>
      <c r="I89" s="6">
        <v>0</v>
      </c>
      <c r="J89" s="8">
        <f>'Forecast Adjustments'!F54</f>
        <v>55000</v>
      </c>
      <c r="K89" s="7">
        <f t="shared" si="6"/>
        <v>0</v>
      </c>
    </row>
    <row r="90" spans="1:12">
      <c r="A90" t="s">
        <v>232</v>
      </c>
      <c r="B90" t="s">
        <v>216</v>
      </c>
      <c r="C90" t="s">
        <v>233</v>
      </c>
      <c r="D90" s="8">
        <f>SUMIF('Original Budget'!$A:$A,A90,'Original Budget'!$E:$E)</f>
        <v>0</v>
      </c>
      <c r="E90" s="8">
        <f>SUMIF('Package PO Plan'!$B:$B,A90,'Package PO Plan'!$F:$F)</f>
        <v>0</v>
      </c>
      <c r="F90" s="8">
        <f>SUMIF('Commercial Events'!$B:$B,A90,'Commercial Events'!$K:$K)</f>
        <v>0</v>
      </c>
      <c r="G90" s="8">
        <f t="shared" si="5"/>
        <v>0</v>
      </c>
      <c r="H90" s="8">
        <f>SUMIF(Ledger!$B:$B,A90,Ledger!$H:$H)</f>
        <v>0</v>
      </c>
      <c r="I90" s="6">
        <v>0</v>
      </c>
      <c r="J90" s="7">
        <v>0</v>
      </c>
      <c r="K90" s="7">
        <f t="shared" si="6"/>
        <v>0</v>
      </c>
    </row>
    <row r="91" spans="1:12">
      <c r="A91" t="s">
        <v>234</v>
      </c>
      <c r="B91" t="s">
        <v>216</v>
      </c>
      <c r="C91" t="s">
        <v>235</v>
      </c>
      <c r="D91" s="8">
        <f>SUMIF('Original Budget'!$A:$A,A91,'Original Budget'!$E:$E)</f>
        <v>35000</v>
      </c>
      <c r="E91" s="8">
        <f>SUMIF('Package PO Plan'!$B:$B,A91,'Package PO Plan'!$F:$F)</f>
        <v>0</v>
      </c>
      <c r="F91" s="8">
        <f>SUMIF('Commercial Events'!$B:$B,A91,'Commercial Events'!$K:$K)</f>
        <v>0</v>
      </c>
      <c r="G91" s="8">
        <f t="shared" si="5"/>
        <v>0</v>
      </c>
      <c r="H91" s="8">
        <f>SUMIF(Ledger!$B:$B,A91,Ledger!$H:$H)</f>
        <v>14000</v>
      </c>
      <c r="I91" s="6">
        <v>0</v>
      </c>
      <c r="J91" s="8">
        <f>'Forecast Adjustments'!F55</f>
        <v>35000</v>
      </c>
      <c r="K91" s="7">
        <f t="shared" si="6"/>
        <v>0</v>
      </c>
    </row>
    <row r="92" spans="1:12">
      <c r="A92" t="s">
        <v>236</v>
      </c>
      <c r="B92" t="s">
        <v>216</v>
      </c>
      <c r="C92" t="s">
        <v>237</v>
      </c>
      <c r="D92" s="8">
        <f>SUMIF('Original Budget'!$A:$A,A92,'Original Budget'!$E:$E)</f>
        <v>15000</v>
      </c>
      <c r="E92" s="8">
        <f>SUMIF('Package PO Plan'!$B:$B,A92,'Package PO Plan'!$F:$F)</f>
        <v>0</v>
      </c>
      <c r="F92" s="8">
        <f>SUMIF('Commercial Events'!$B:$B,A92,'Commercial Events'!$K:$K)</f>
        <v>0</v>
      </c>
      <c r="G92" s="8">
        <f t="shared" si="5"/>
        <v>0</v>
      </c>
      <c r="H92" s="8">
        <f>SUMIF(Ledger!$B:$B,A92,Ledger!$H:$H)</f>
        <v>0</v>
      </c>
      <c r="I92" s="6">
        <v>0</v>
      </c>
      <c r="J92" s="8">
        <f>'Forecast Adjustments'!F56</f>
        <v>15000</v>
      </c>
      <c r="K92" s="7">
        <f t="shared" si="6"/>
        <v>0</v>
      </c>
    </row>
    <row r="93" spans="1:12">
      <c r="A93" t="s">
        <v>238</v>
      </c>
      <c r="B93" t="s">
        <v>216</v>
      </c>
      <c r="C93" t="s">
        <v>239</v>
      </c>
      <c r="D93" s="8">
        <f>SUMIF('Original Budget'!$A:$A,A93,'Original Budget'!$E:$E)</f>
        <v>15000</v>
      </c>
      <c r="E93" s="8">
        <f>SUMIF('Package PO Plan'!$B:$B,A93,'Package PO Plan'!$F:$F)</f>
        <v>0</v>
      </c>
      <c r="F93" s="8">
        <f>SUMIF('Commercial Events'!$B:$B,A93,'Commercial Events'!$K:$K)</f>
        <v>0</v>
      </c>
      <c r="G93" s="8">
        <f t="shared" si="5"/>
        <v>0</v>
      </c>
      <c r="H93" s="8">
        <f>SUMIF(Ledger!$B:$B,A93,Ledger!$H:$H)</f>
        <v>0</v>
      </c>
      <c r="I93" s="6">
        <v>0</v>
      </c>
      <c r="J93" s="8">
        <f>'Forecast Adjustments'!F57</f>
        <v>15000</v>
      </c>
      <c r="K93" s="7">
        <f t="shared" si="6"/>
        <v>0</v>
      </c>
    </row>
    <row r="94" spans="1:12">
      <c r="A94" t="s">
        <v>240</v>
      </c>
      <c r="B94" t="s">
        <v>216</v>
      </c>
      <c r="C94" t="s">
        <v>241</v>
      </c>
      <c r="D94" s="8">
        <f>SUMIF('Original Budget'!$A:$A,A94,'Original Budget'!$E:$E)</f>
        <v>36000</v>
      </c>
      <c r="E94" s="8">
        <f>SUMIF('Package PO Plan'!$B:$B,A94,'Package PO Plan'!$F:$F)</f>
        <v>0</v>
      </c>
      <c r="F94" s="8">
        <f>SUMIF('Commercial Events'!$B:$B,A94,'Commercial Events'!$K:$K)</f>
        <v>0</v>
      </c>
      <c r="G94" s="8">
        <f t="shared" si="5"/>
        <v>0</v>
      </c>
      <c r="H94" s="8">
        <f>SUMIF(Ledger!$B:$B,A94,Ledger!$H:$H)</f>
        <v>0</v>
      </c>
      <c r="I94" s="6">
        <v>0</v>
      </c>
      <c r="J94" s="8">
        <f>'Forecast Adjustments'!F58</f>
        <v>36000</v>
      </c>
      <c r="K94" s="7">
        <f t="shared" si="6"/>
        <v>0</v>
      </c>
    </row>
    <row r="95" spans="1:12">
      <c r="A95" t="s">
        <v>242</v>
      </c>
      <c r="B95" t="s">
        <v>216</v>
      </c>
      <c r="C95" t="s">
        <v>243</v>
      </c>
      <c r="D95" s="8">
        <f>SUMIF('Original Budget'!$A:$A,A95,'Original Budget'!$E:$E)</f>
        <v>9000</v>
      </c>
      <c r="E95" s="8">
        <f>SUMIF('Package PO Plan'!$B:$B,A95,'Package PO Plan'!$F:$F)</f>
        <v>0</v>
      </c>
      <c r="F95" s="8">
        <f>SUMIF('Commercial Events'!$B:$B,A95,'Commercial Events'!$K:$K)</f>
        <v>0</v>
      </c>
      <c r="G95" s="8">
        <f t="shared" si="5"/>
        <v>0</v>
      </c>
      <c r="H95" s="8">
        <f>SUMIF(Ledger!$B:$B,A95,Ledger!$H:$H)</f>
        <v>0</v>
      </c>
      <c r="I95" s="6">
        <v>0</v>
      </c>
      <c r="J95" s="8">
        <f>'Forecast Adjustments'!F59</f>
        <v>9000</v>
      </c>
      <c r="K95" s="7">
        <f t="shared" si="6"/>
        <v>0</v>
      </c>
    </row>
    <row r="96" spans="1:12">
      <c r="A96" t="s">
        <v>244</v>
      </c>
      <c r="B96" t="s">
        <v>216</v>
      </c>
      <c r="C96" t="s">
        <v>245</v>
      </c>
      <c r="D96" s="8">
        <f>SUMIF('Original Budget'!$A:$A,A96,'Original Budget'!$E:$E)</f>
        <v>45000</v>
      </c>
      <c r="E96" s="8">
        <f>SUMIF('Package PO Plan'!$B:$B,A96,'Package PO Plan'!$F:$F)</f>
        <v>0</v>
      </c>
      <c r="F96" s="8">
        <f>SUMIF('Commercial Events'!$B:$B,A96,'Commercial Events'!$K:$K)</f>
        <v>0</v>
      </c>
      <c r="G96" s="8">
        <f t="shared" si="5"/>
        <v>0</v>
      </c>
      <c r="H96" s="8">
        <f>SUMIF(Ledger!$B:$B,A96,Ledger!$H:$H)</f>
        <v>0</v>
      </c>
      <c r="I96" s="6">
        <v>0</v>
      </c>
      <c r="J96" s="8">
        <f>'Forecast Adjustments'!F60</f>
        <v>45000</v>
      </c>
      <c r="K96" s="7">
        <f t="shared" si="6"/>
        <v>0</v>
      </c>
    </row>
    <row r="97" spans="1:11">
      <c r="A97" t="s">
        <v>246</v>
      </c>
      <c r="B97" t="s">
        <v>216</v>
      </c>
      <c r="C97" t="s">
        <v>247</v>
      </c>
      <c r="D97" s="8">
        <f>SUMIF('Original Budget'!$A:$A,A97,'Original Budget'!$E:$E)</f>
        <v>0</v>
      </c>
      <c r="E97" s="8">
        <f>SUMIF('Package PO Plan'!$B:$B,A97,'Package PO Plan'!$F:$F)</f>
        <v>0</v>
      </c>
      <c r="F97" s="8">
        <f>SUMIF('Commercial Events'!$B:$B,A97,'Commercial Events'!$K:$K)</f>
        <v>0</v>
      </c>
      <c r="G97" s="8">
        <f t="shared" si="5"/>
        <v>0</v>
      </c>
      <c r="H97" s="8">
        <f>SUMIF(Ledger!$B:$B,A97,Ledger!$H:$H)</f>
        <v>0</v>
      </c>
      <c r="I97" s="6">
        <v>0</v>
      </c>
      <c r="J97" s="7">
        <v>0</v>
      </c>
      <c r="K97" s="7">
        <f t="shared" si="6"/>
        <v>0</v>
      </c>
    </row>
    <row r="98" spans="1:11">
      <c r="A98" t="s">
        <v>248</v>
      </c>
      <c r="B98" t="s">
        <v>216</v>
      </c>
      <c r="C98" t="s">
        <v>249</v>
      </c>
      <c r="D98" s="8">
        <f>SUMIF('Original Budget'!$A:$A,A98,'Original Budget'!$E:$E)</f>
        <v>35000</v>
      </c>
      <c r="E98" s="8">
        <f>SUMIF('Package PO Plan'!$B:$B,A98,'Package PO Plan'!$F:$F)</f>
        <v>0</v>
      </c>
      <c r="F98" s="8">
        <f>SUMIF('Commercial Events'!$B:$B,A98,'Commercial Events'!$K:$K)</f>
        <v>0</v>
      </c>
      <c r="G98" s="8">
        <f t="shared" si="5"/>
        <v>0</v>
      </c>
      <c r="H98" s="8">
        <f>SUMIF(Ledger!$B:$B,A98,Ledger!$H:$H)</f>
        <v>0</v>
      </c>
      <c r="I98" s="6">
        <v>0</v>
      </c>
      <c r="J98" s="8">
        <f>'Forecast Adjustments'!F61</f>
        <v>35000</v>
      </c>
      <c r="K98" s="7">
        <f t="shared" si="6"/>
        <v>0</v>
      </c>
    </row>
    <row r="99" spans="1:11">
      <c r="A99" t="s">
        <v>250</v>
      </c>
      <c r="B99" t="s">
        <v>216</v>
      </c>
      <c r="C99" t="s">
        <v>251</v>
      </c>
      <c r="D99" s="8">
        <f>SUMIF('Original Budget'!$A:$A,A99,'Original Budget'!$E:$E)</f>
        <v>25000</v>
      </c>
      <c r="E99" s="8">
        <f>SUMIF('Package PO Plan'!$B:$B,A99,'Package PO Plan'!$F:$F)</f>
        <v>0</v>
      </c>
      <c r="F99" s="8">
        <f>SUMIF('Commercial Events'!$B:$B,A99,'Commercial Events'!$K:$K)</f>
        <v>0</v>
      </c>
      <c r="G99" s="8">
        <f t="shared" si="5"/>
        <v>0</v>
      </c>
      <c r="H99" s="8">
        <f>SUMIF(Ledger!$B:$B,A99,Ledger!$H:$H)</f>
        <v>0</v>
      </c>
      <c r="I99" s="6">
        <v>0</v>
      </c>
      <c r="J99" s="8">
        <f>'Forecast Adjustments'!F62</f>
        <v>25000</v>
      </c>
      <c r="K99" s="7">
        <f t="shared" si="6"/>
        <v>0</v>
      </c>
    </row>
    <row r="100" spans="1:11">
      <c r="A100" t="s">
        <v>252</v>
      </c>
      <c r="B100" t="s">
        <v>253</v>
      </c>
      <c r="C100" t="s">
        <v>255</v>
      </c>
      <c r="D100" s="8">
        <f>SUMIF('Original Budget'!$A:$A,A100,'Original Budget'!$E:$E)</f>
        <v>95000</v>
      </c>
      <c r="E100" s="8">
        <f>SUMIF('Package PO Plan'!$B:$B,A100,'Package PO Plan'!$F:$F)</f>
        <v>90000</v>
      </c>
      <c r="F100" s="8">
        <f>SUMIF('Commercial Events'!$B:$B,A100,'Commercial Events'!$K:$K)</f>
        <v>0</v>
      </c>
      <c r="G100" s="8">
        <f t="shared" si="5"/>
        <v>90000</v>
      </c>
      <c r="H100" s="8">
        <f>SUMIF(Ledger!$B:$B,A100,Ledger!$H:$H)</f>
        <v>52000</v>
      </c>
      <c r="I100" s="6">
        <v>0</v>
      </c>
      <c r="J100" s="8">
        <f>'Forecast Adjustments'!F63</f>
        <v>95000</v>
      </c>
      <c r="K100" s="7">
        <f t="shared" si="6"/>
        <v>0</v>
      </c>
    </row>
    <row r="101" spans="1:11">
      <c r="A101" t="s">
        <v>256</v>
      </c>
      <c r="B101" t="s">
        <v>253</v>
      </c>
      <c r="C101" t="s">
        <v>257</v>
      </c>
      <c r="D101" s="8">
        <f>SUMIF('Original Budget'!$A:$A,A101,'Original Budget'!$E:$E)</f>
        <v>65000</v>
      </c>
      <c r="E101" s="8">
        <f>SUMIF('Package PO Plan'!$B:$B,A101,'Package PO Plan'!$F:$F)</f>
        <v>0</v>
      </c>
      <c r="F101" s="8">
        <f>SUMIF('Commercial Events'!$B:$B,A101,'Commercial Events'!$K:$K)</f>
        <v>0</v>
      </c>
      <c r="G101" s="8">
        <f t="shared" si="5"/>
        <v>0</v>
      </c>
      <c r="H101" s="8">
        <f>SUMIF(Ledger!$B:$B,A101,Ledger!$H:$H)</f>
        <v>44000</v>
      </c>
      <c r="I101" s="6">
        <v>0</v>
      </c>
      <c r="J101" s="8">
        <f>'Forecast Adjustments'!F64</f>
        <v>65000</v>
      </c>
      <c r="K101" s="7">
        <f t="shared" si="6"/>
        <v>0</v>
      </c>
    </row>
    <row r="102" spans="1:11">
      <c r="A102" t="s">
        <v>258</v>
      </c>
      <c r="B102" t="s">
        <v>253</v>
      </c>
      <c r="C102" t="s">
        <v>259</v>
      </c>
      <c r="D102" s="8">
        <f>SUMIF('Original Budget'!$A:$A,A102,'Original Budget'!$E:$E)</f>
        <v>165000</v>
      </c>
      <c r="E102" s="8">
        <f>SUMIF('Package PO Plan'!$B:$B,A102,'Package PO Plan'!$F:$F)</f>
        <v>155000</v>
      </c>
      <c r="F102" s="8">
        <f>SUMIF('Commercial Events'!$B:$B,A102,'Commercial Events'!$K:$K)</f>
        <v>0</v>
      </c>
      <c r="G102" s="8">
        <f t="shared" si="5"/>
        <v>155000</v>
      </c>
      <c r="H102" s="8">
        <f>SUMIF(Ledger!$B:$B,A102,Ledger!$H:$H)</f>
        <v>96000</v>
      </c>
      <c r="I102" s="6">
        <v>0</v>
      </c>
      <c r="J102" s="8">
        <f>'Forecast Adjustments'!F65</f>
        <v>165000</v>
      </c>
      <c r="K102" s="7">
        <f t="shared" si="6"/>
        <v>0</v>
      </c>
    </row>
    <row r="103" spans="1:11">
      <c r="A103" t="s">
        <v>260</v>
      </c>
      <c r="B103" t="s">
        <v>253</v>
      </c>
      <c r="C103" t="s">
        <v>261</v>
      </c>
      <c r="D103" s="8">
        <f>SUMIF('Original Budget'!$A:$A,A103,'Original Budget'!$E:$E)</f>
        <v>42000</v>
      </c>
      <c r="E103" s="8">
        <f>SUMIF('Package PO Plan'!$B:$B,A103,'Package PO Plan'!$F:$F)</f>
        <v>0</v>
      </c>
      <c r="F103" s="8">
        <f>SUMIF('Commercial Events'!$B:$B,A103,'Commercial Events'!$K:$K)</f>
        <v>0</v>
      </c>
      <c r="G103" s="8">
        <f t="shared" si="5"/>
        <v>0</v>
      </c>
      <c r="H103" s="8">
        <f>SUMIF(Ledger!$B:$B,A103,Ledger!$H:$H)</f>
        <v>0</v>
      </c>
      <c r="I103" s="6">
        <v>0</v>
      </c>
      <c r="J103" s="8">
        <f>'Forecast Adjustments'!F66</f>
        <v>42000</v>
      </c>
      <c r="K103" s="7">
        <f t="shared" si="6"/>
        <v>0</v>
      </c>
    </row>
    <row r="104" spans="1:11">
      <c r="A104" t="s">
        <v>262</v>
      </c>
      <c r="B104" t="s">
        <v>253</v>
      </c>
      <c r="C104" t="s">
        <v>263</v>
      </c>
      <c r="D104" s="8">
        <f>SUMIF('Original Budget'!$A:$A,A104,'Original Budget'!$E:$E)</f>
        <v>70000</v>
      </c>
      <c r="E104" s="8">
        <f>SUMIF('Package PO Plan'!$B:$B,A104,'Package PO Plan'!$F:$F)</f>
        <v>0</v>
      </c>
      <c r="F104" s="8">
        <f>SUMIF('Commercial Events'!$B:$B,A104,'Commercial Events'!$K:$K)</f>
        <v>0</v>
      </c>
      <c r="G104" s="8">
        <f t="shared" si="5"/>
        <v>0</v>
      </c>
      <c r="H104" s="8">
        <f>SUMIF(Ledger!$B:$B,A104,Ledger!$H:$H)</f>
        <v>24000</v>
      </c>
      <c r="I104" s="6">
        <v>0</v>
      </c>
      <c r="J104" s="8">
        <f>'Forecast Adjustments'!F67</f>
        <v>70000</v>
      </c>
      <c r="K104" s="7">
        <f t="shared" si="6"/>
        <v>0</v>
      </c>
    </row>
    <row r="105" spans="1:11">
      <c r="A105" t="s">
        <v>264</v>
      </c>
      <c r="B105" t="s">
        <v>253</v>
      </c>
      <c r="C105" t="s">
        <v>265</v>
      </c>
      <c r="D105" s="8">
        <f>SUMIF('Original Budget'!$A:$A,A105,'Original Budget'!$E:$E)</f>
        <v>62000</v>
      </c>
      <c r="E105" s="8">
        <f>SUMIF('Package PO Plan'!$B:$B,A105,'Package PO Plan'!$F:$F)</f>
        <v>0</v>
      </c>
      <c r="F105" s="8">
        <f>SUMIF('Commercial Events'!$B:$B,A105,'Commercial Events'!$K:$K)</f>
        <v>0</v>
      </c>
      <c r="G105" s="8">
        <f t="shared" si="5"/>
        <v>0</v>
      </c>
      <c r="H105" s="8">
        <f>SUMIF(Ledger!$B:$B,A105,Ledger!$H:$H)</f>
        <v>0</v>
      </c>
      <c r="I105" s="6">
        <v>0</v>
      </c>
      <c r="J105" s="8">
        <f>'Forecast Adjustments'!F68</f>
        <v>62000</v>
      </c>
      <c r="K105" s="7">
        <f t="shared" si="6"/>
        <v>0</v>
      </c>
    </row>
    <row r="106" spans="1:11">
      <c r="A106" t="s">
        <v>266</v>
      </c>
      <c r="B106" t="s">
        <v>253</v>
      </c>
      <c r="C106" t="s">
        <v>267</v>
      </c>
      <c r="D106" s="8">
        <f>SUMIF('Original Budget'!$A:$A,A106,'Original Budget'!$E:$E)</f>
        <v>25000</v>
      </c>
      <c r="E106" s="8">
        <f>SUMIF('Package PO Plan'!$B:$B,A106,'Package PO Plan'!$F:$F)</f>
        <v>0</v>
      </c>
      <c r="F106" s="8">
        <f>SUMIF('Commercial Events'!$B:$B,A106,'Commercial Events'!$K:$K)</f>
        <v>0</v>
      </c>
      <c r="G106" s="8">
        <f t="shared" si="5"/>
        <v>0</v>
      </c>
      <c r="H106" s="8">
        <f>SUMIF(Ledger!$B:$B,A106,Ledger!$H:$H)</f>
        <v>0</v>
      </c>
      <c r="I106" s="6">
        <v>0</v>
      </c>
      <c r="J106" s="8">
        <f>'Forecast Adjustments'!F69</f>
        <v>25000</v>
      </c>
      <c r="K106" s="7">
        <f t="shared" si="6"/>
        <v>0</v>
      </c>
    </row>
    <row r="107" spans="1:11">
      <c r="A107" t="s">
        <v>268</v>
      </c>
      <c r="B107" t="s">
        <v>253</v>
      </c>
      <c r="C107" t="s">
        <v>269</v>
      </c>
      <c r="D107" s="8">
        <f>SUMIF('Original Budget'!$A:$A,A107,'Original Budget'!$E:$E)</f>
        <v>22000</v>
      </c>
      <c r="E107" s="8">
        <f>SUMIF('Package PO Plan'!$B:$B,A107,'Package PO Plan'!$F:$F)</f>
        <v>0</v>
      </c>
      <c r="F107" s="8">
        <f>SUMIF('Commercial Events'!$B:$B,A107,'Commercial Events'!$K:$K)</f>
        <v>0</v>
      </c>
      <c r="G107" s="8">
        <f t="shared" si="5"/>
        <v>0</v>
      </c>
      <c r="H107" s="8">
        <f>SUMIF(Ledger!$B:$B,A107,Ledger!$H:$H)</f>
        <v>0</v>
      </c>
      <c r="I107" s="6">
        <v>0</v>
      </c>
      <c r="J107" s="8">
        <f>'Forecast Adjustments'!F70</f>
        <v>22000</v>
      </c>
      <c r="K107" s="7">
        <f t="shared" si="6"/>
        <v>0</v>
      </c>
    </row>
    <row r="108" spans="1:11">
      <c r="A108" t="s">
        <v>270</v>
      </c>
      <c r="B108" t="s">
        <v>253</v>
      </c>
      <c r="C108" t="s">
        <v>271</v>
      </c>
      <c r="D108" s="8">
        <f>SUMIF('Original Budget'!$A:$A,A108,'Original Budget'!$E:$E)</f>
        <v>28000</v>
      </c>
      <c r="E108" s="8">
        <f>SUMIF('Package PO Plan'!$B:$B,A108,'Package PO Plan'!$F:$F)</f>
        <v>0</v>
      </c>
      <c r="F108" s="8">
        <f>SUMIF('Commercial Events'!$B:$B,A108,'Commercial Events'!$K:$K)</f>
        <v>0</v>
      </c>
      <c r="G108" s="8">
        <f t="shared" si="5"/>
        <v>0</v>
      </c>
      <c r="H108" s="8">
        <f>SUMIF(Ledger!$B:$B,A108,Ledger!$H:$H)</f>
        <v>0</v>
      </c>
      <c r="I108" s="6">
        <v>0</v>
      </c>
      <c r="J108" s="8">
        <f>'Forecast Adjustments'!F71</f>
        <v>28000</v>
      </c>
      <c r="K108" s="7">
        <f t="shared" si="6"/>
        <v>0</v>
      </c>
    </row>
    <row r="109" spans="1:11">
      <c r="A109" t="s">
        <v>272</v>
      </c>
      <c r="B109" t="s">
        <v>253</v>
      </c>
      <c r="C109" t="s">
        <v>273</v>
      </c>
      <c r="D109" s="8">
        <f>SUMIF('Original Budget'!$A:$A,A109,'Original Budget'!$E:$E)</f>
        <v>45000</v>
      </c>
      <c r="E109" s="8">
        <f>SUMIF('Package PO Plan'!$B:$B,A109,'Package PO Plan'!$F:$F)</f>
        <v>0</v>
      </c>
      <c r="F109" s="8">
        <f>SUMIF('Commercial Events'!$B:$B,A109,'Commercial Events'!$K:$K)</f>
        <v>0</v>
      </c>
      <c r="G109" s="8">
        <f t="shared" si="5"/>
        <v>0</v>
      </c>
      <c r="H109" s="8">
        <f>SUMIF(Ledger!$B:$B,A109,Ledger!$H:$H)</f>
        <v>0</v>
      </c>
      <c r="I109" s="6">
        <v>0</v>
      </c>
      <c r="J109" s="8">
        <f>'Forecast Adjustments'!F72</f>
        <v>45000</v>
      </c>
      <c r="K109" s="7">
        <f t="shared" si="6"/>
        <v>0</v>
      </c>
    </row>
    <row r="110" spans="1:11">
      <c r="A110" t="s">
        <v>274</v>
      </c>
      <c r="B110" t="s">
        <v>253</v>
      </c>
      <c r="C110" t="s">
        <v>275</v>
      </c>
      <c r="D110" s="8">
        <f>SUMIF('Original Budget'!$A:$A,A110,'Original Budget'!$E:$E)</f>
        <v>62000</v>
      </c>
      <c r="E110" s="8">
        <f>SUMIF('Package PO Plan'!$B:$B,A110,'Package PO Plan'!$F:$F)</f>
        <v>58000</v>
      </c>
      <c r="F110" s="8">
        <f>SUMIF('Commercial Events'!$B:$B,A110,'Commercial Events'!$K:$K)</f>
        <v>0</v>
      </c>
      <c r="G110" s="8">
        <f t="shared" si="5"/>
        <v>58000</v>
      </c>
      <c r="H110" s="8">
        <f>SUMIF(Ledger!$B:$B,A110,Ledger!$H:$H)</f>
        <v>15000</v>
      </c>
      <c r="I110" s="6">
        <v>0</v>
      </c>
      <c r="J110" s="8">
        <f>'Forecast Adjustments'!F73</f>
        <v>62000</v>
      </c>
      <c r="K110" s="7">
        <f t="shared" si="6"/>
        <v>0</v>
      </c>
    </row>
    <row r="111" spans="1:11">
      <c r="A111" t="s">
        <v>276</v>
      </c>
      <c r="B111" t="s">
        <v>253</v>
      </c>
      <c r="C111" t="s">
        <v>277</v>
      </c>
      <c r="D111" s="8">
        <f>SUMIF('Original Budget'!$A:$A,A111,'Original Budget'!$E:$E)</f>
        <v>24000</v>
      </c>
      <c r="E111" s="8">
        <f>SUMIF('Package PO Plan'!$B:$B,A111,'Package PO Plan'!$F:$F)</f>
        <v>0</v>
      </c>
      <c r="F111" s="8">
        <f>SUMIF('Commercial Events'!$B:$B,A111,'Commercial Events'!$K:$K)</f>
        <v>0</v>
      </c>
      <c r="G111" s="8">
        <f t="shared" si="5"/>
        <v>0</v>
      </c>
      <c r="H111" s="8">
        <f>SUMIF(Ledger!$B:$B,A111,Ledger!$H:$H)</f>
        <v>0</v>
      </c>
      <c r="I111" s="6">
        <v>0</v>
      </c>
      <c r="J111" s="8">
        <f>'Forecast Adjustments'!F74</f>
        <v>24000</v>
      </c>
      <c r="K111" s="7">
        <f t="shared" si="6"/>
        <v>0</v>
      </c>
    </row>
    <row r="112" spans="1:11">
      <c r="A112" t="s">
        <v>278</v>
      </c>
      <c r="B112" t="s">
        <v>253</v>
      </c>
      <c r="C112" t="s">
        <v>279</v>
      </c>
      <c r="D112" s="8">
        <f>SUMIF('Original Budget'!$A:$A,A112,'Original Budget'!$E:$E)</f>
        <v>30000</v>
      </c>
      <c r="E112" s="8">
        <f>SUMIF('Package PO Plan'!$B:$B,A112,'Package PO Plan'!$F:$F)</f>
        <v>0</v>
      </c>
      <c r="F112" s="8">
        <f>SUMIF('Commercial Events'!$B:$B,A112,'Commercial Events'!$K:$K)</f>
        <v>0</v>
      </c>
      <c r="G112" s="8">
        <f t="shared" si="5"/>
        <v>0</v>
      </c>
      <c r="H112" s="8">
        <f>SUMIF(Ledger!$B:$B,A112,Ledger!$H:$H)</f>
        <v>0</v>
      </c>
      <c r="I112" s="6">
        <v>0</v>
      </c>
      <c r="J112" s="8">
        <f>'Forecast Adjustments'!F75</f>
        <v>30000</v>
      </c>
      <c r="K112" s="7">
        <f t="shared" si="6"/>
        <v>0</v>
      </c>
    </row>
    <row r="113" spans="1:12">
      <c r="A113" t="s">
        <v>280</v>
      </c>
      <c r="B113" t="s">
        <v>253</v>
      </c>
      <c r="C113" t="s">
        <v>281</v>
      </c>
      <c r="D113" s="8">
        <f>SUMIF('Original Budget'!$A:$A,A113,'Original Budget'!$E:$E)</f>
        <v>32000</v>
      </c>
      <c r="E113" s="8">
        <f>SUMIF('Package PO Plan'!$B:$B,A113,'Package PO Plan'!$F:$F)</f>
        <v>0</v>
      </c>
      <c r="F113" s="8">
        <f>SUMIF('Commercial Events'!$B:$B,A113,'Commercial Events'!$K:$K)</f>
        <v>0</v>
      </c>
      <c r="G113" s="8">
        <f t="shared" si="5"/>
        <v>0</v>
      </c>
      <c r="H113" s="8">
        <f>SUMIF(Ledger!$B:$B,A113,Ledger!$H:$H)</f>
        <v>0</v>
      </c>
      <c r="I113" s="6">
        <v>0</v>
      </c>
      <c r="J113" s="8">
        <f>'Forecast Adjustments'!F76</f>
        <v>32000</v>
      </c>
      <c r="K113" s="7">
        <f t="shared" si="6"/>
        <v>0</v>
      </c>
    </row>
    <row r="114" spans="1:12">
      <c r="A114" t="s">
        <v>282</v>
      </c>
      <c r="B114" t="s">
        <v>253</v>
      </c>
      <c r="C114" t="s">
        <v>283</v>
      </c>
      <c r="D114" s="8">
        <f>SUMIF('Original Budget'!$A:$A,A114,'Original Budget'!$E:$E)</f>
        <v>0</v>
      </c>
      <c r="E114" s="8">
        <f>SUMIF('Package PO Plan'!$B:$B,A114,'Package PO Plan'!$F:$F)</f>
        <v>0</v>
      </c>
      <c r="F114" s="8">
        <f>SUMIF('Commercial Events'!$B:$B,A114,'Commercial Events'!$K:$K)</f>
        <v>0</v>
      </c>
      <c r="G114" s="8">
        <f t="shared" si="5"/>
        <v>0</v>
      </c>
      <c r="H114" s="8">
        <f>SUMIF(Ledger!$B:$B,A114,Ledger!$H:$H)</f>
        <v>0</v>
      </c>
      <c r="I114" s="6">
        <v>0</v>
      </c>
      <c r="J114" s="7">
        <v>0</v>
      </c>
      <c r="K114" s="7">
        <f t="shared" si="6"/>
        <v>0</v>
      </c>
    </row>
    <row r="115" spans="1:12">
      <c r="A115" t="s">
        <v>284</v>
      </c>
      <c r="B115" t="s">
        <v>253</v>
      </c>
      <c r="C115" t="s">
        <v>285</v>
      </c>
      <c r="D115" s="8">
        <f>SUMIF('Original Budget'!$A:$A,A115,'Original Budget'!$E:$E)</f>
        <v>48000</v>
      </c>
      <c r="E115" s="8">
        <f>SUMIF('Package PO Plan'!$B:$B,A115,'Package PO Plan'!$F:$F)</f>
        <v>40000</v>
      </c>
      <c r="F115" s="8">
        <f>SUMIF('Commercial Events'!$B:$B,A115,'Commercial Events'!$K:$K)</f>
        <v>0</v>
      </c>
      <c r="G115" s="8">
        <f t="shared" si="5"/>
        <v>40000</v>
      </c>
      <c r="H115" s="8">
        <f>SUMIF(Ledger!$B:$B,A115,Ledger!$H:$H)</f>
        <v>0</v>
      </c>
      <c r="I115" s="6">
        <v>0</v>
      </c>
      <c r="J115" s="8">
        <f>'Forecast Adjustments'!F77</f>
        <v>48000</v>
      </c>
      <c r="K115" s="7">
        <f t="shared" si="6"/>
        <v>0</v>
      </c>
    </row>
    <row r="116" spans="1:12">
      <c r="A116" t="s">
        <v>286</v>
      </c>
      <c r="B116" t="s">
        <v>253</v>
      </c>
      <c r="C116" t="s">
        <v>287</v>
      </c>
      <c r="D116" s="8">
        <f>SUMIF('Original Budget'!$A:$A,A116,'Original Budget'!$E:$E)</f>
        <v>18000</v>
      </c>
      <c r="E116" s="8">
        <f>SUMIF('Package PO Plan'!$B:$B,A116,'Package PO Plan'!$F:$F)</f>
        <v>0</v>
      </c>
      <c r="F116" s="8">
        <f>SUMIF('Commercial Events'!$B:$B,A116,'Commercial Events'!$K:$K)</f>
        <v>0</v>
      </c>
      <c r="G116" s="8">
        <f t="shared" si="5"/>
        <v>0</v>
      </c>
      <c r="H116" s="8">
        <f>SUMIF(Ledger!$B:$B,A116,Ledger!$H:$H)</f>
        <v>0</v>
      </c>
      <c r="I116" s="6">
        <v>0</v>
      </c>
      <c r="J116" s="8">
        <f>'Forecast Adjustments'!F78</f>
        <v>18000</v>
      </c>
      <c r="K116" s="7">
        <f t="shared" si="6"/>
        <v>0</v>
      </c>
    </row>
    <row r="117" spans="1:12">
      <c r="A117" t="s">
        <v>288</v>
      </c>
      <c r="B117" t="s">
        <v>253</v>
      </c>
      <c r="C117" t="s">
        <v>289</v>
      </c>
      <c r="D117" s="8">
        <f>SUMIF('Original Budget'!$A:$A,A117,'Original Budget'!$E:$E)</f>
        <v>0</v>
      </c>
      <c r="E117" s="8">
        <f>SUMIF('Package PO Plan'!$B:$B,A117,'Package PO Plan'!$F:$F)</f>
        <v>0</v>
      </c>
      <c r="F117" s="8">
        <f>SUMIF('Commercial Events'!$B:$B,A117,'Commercial Events'!$K:$K)</f>
        <v>0</v>
      </c>
      <c r="G117" s="8">
        <f t="shared" si="5"/>
        <v>0</v>
      </c>
      <c r="H117" s="8">
        <f>SUMIF(Ledger!$B:$B,A117,Ledger!$H:$H)</f>
        <v>0</v>
      </c>
      <c r="I117" s="6">
        <v>0</v>
      </c>
      <c r="J117" s="7">
        <v>0</v>
      </c>
      <c r="K117" s="7">
        <f t="shared" si="6"/>
        <v>0</v>
      </c>
    </row>
    <row r="118" spans="1:12">
      <c r="A118" t="s">
        <v>290</v>
      </c>
      <c r="B118" t="s">
        <v>253</v>
      </c>
      <c r="C118" t="s">
        <v>291</v>
      </c>
      <c r="D118" s="8">
        <f>SUMIF('Original Budget'!$A:$A,A118,'Original Budget'!$E:$E)</f>
        <v>0</v>
      </c>
      <c r="E118" s="8">
        <f>SUMIF('Package PO Plan'!$B:$B,A118,'Package PO Plan'!$F:$F)</f>
        <v>0</v>
      </c>
      <c r="F118" s="8">
        <f>SUMIF('Commercial Events'!$B:$B,A118,'Commercial Events'!$K:$K)</f>
        <v>0</v>
      </c>
      <c r="G118" s="8">
        <f t="shared" si="5"/>
        <v>0</v>
      </c>
      <c r="H118" s="8">
        <f>SUMIF(Ledger!$B:$B,A118,Ledger!$H:$H)</f>
        <v>0</v>
      </c>
      <c r="I118" s="6">
        <v>0</v>
      </c>
      <c r="J118" s="7">
        <v>0</v>
      </c>
      <c r="K118" s="7">
        <f t="shared" si="6"/>
        <v>0</v>
      </c>
    </row>
    <row r="119" spans="1:12">
      <c r="A119" t="s">
        <v>292</v>
      </c>
      <c r="B119" t="s">
        <v>253</v>
      </c>
      <c r="C119" t="s">
        <v>293</v>
      </c>
      <c r="D119" s="8">
        <f>SUMIF('Original Budget'!$A:$A,A119,'Original Budget'!$E:$E)</f>
        <v>22000</v>
      </c>
      <c r="E119" s="8">
        <f>SUMIF('Package PO Plan'!$B:$B,A119,'Package PO Plan'!$F:$F)</f>
        <v>0</v>
      </c>
      <c r="F119" s="8">
        <f>SUMIF('Commercial Events'!$B:$B,A119,'Commercial Events'!$K:$K)</f>
        <v>0</v>
      </c>
      <c r="G119" s="8">
        <f t="shared" si="5"/>
        <v>0</v>
      </c>
      <c r="H119" s="8">
        <f>SUMIF(Ledger!$B:$B,A119,Ledger!$H:$H)</f>
        <v>0</v>
      </c>
      <c r="I119" s="6">
        <v>0</v>
      </c>
      <c r="J119" s="8">
        <f>'Forecast Adjustments'!F79</f>
        <v>22000</v>
      </c>
      <c r="K119" s="7">
        <f t="shared" si="6"/>
        <v>0</v>
      </c>
    </row>
    <row r="120" spans="1:12">
      <c r="A120" t="s">
        <v>294</v>
      </c>
      <c r="B120" t="s">
        <v>295</v>
      </c>
      <c r="C120" t="s">
        <v>296</v>
      </c>
      <c r="D120" s="8">
        <f>SUMIF('Original Budget'!$A:$A,A120,'Original Budget'!$E:$E)</f>
        <v>35000</v>
      </c>
      <c r="E120" s="8">
        <f>SUMIF('Package PO Plan'!$B:$B,A120,'Package PO Plan'!$F:$F)</f>
        <v>0</v>
      </c>
      <c r="F120" s="8">
        <f>SUMIF('Commercial Events'!$B:$B,A120,'Commercial Events'!$K:$K)</f>
        <v>0</v>
      </c>
      <c r="G120" s="8">
        <f t="shared" si="5"/>
        <v>0</v>
      </c>
      <c r="H120" s="8">
        <f>SUMIF(Ledger!$B:$B,A120,Ledger!$H:$H)</f>
        <v>0</v>
      </c>
      <c r="I120" s="6">
        <v>0</v>
      </c>
      <c r="J120" s="8">
        <f>'Forecast Adjustments'!F80</f>
        <v>35000</v>
      </c>
      <c r="K120" s="7">
        <f t="shared" si="6"/>
        <v>0</v>
      </c>
    </row>
    <row r="121" spans="1:12">
      <c r="A121" t="s">
        <v>297</v>
      </c>
      <c r="B121" t="s">
        <v>295</v>
      </c>
      <c r="C121" t="s">
        <v>298</v>
      </c>
      <c r="D121" s="8">
        <f>SUMIF('Original Budget'!$A:$A,A121,'Original Budget'!$E:$E)</f>
        <v>82000</v>
      </c>
      <c r="E121" s="8">
        <f>SUMIF('Package PO Plan'!$B:$B,A121,'Package PO Plan'!$F:$F)</f>
        <v>78000</v>
      </c>
      <c r="F121" s="8">
        <f>SUMIF('Commercial Events'!$B:$B,A121,'Commercial Events'!$K:$K)</f>
        <v>0</v>
      </c>
      <c r="G121" s="8">
        <f t="shared" si="5"/>
        <v>78000</v>
      </c>
      <c r="H121" s="8">
        <f>SUMIF(Ledger!$B:$B,A121,Ledger!$H:$H)</f>
        <v>30000</v>
      </c>
      <c r="I121" s="6">
        <v>24000</v>
      </c>
      <c r="J121" s="8">
        <f>'Forecast Adjustments'!F81</f>
        <v>82000</v>
      </c>
      <c r="K121" s="7">
        <f t="shared" si="6"/>
        <v>0</v>
      </c>
    </row>
    <row r="122" spans="1:12">
      <c r="A122" t="s">
        <v>299</v>
      </c>
      <c r="B122" t="s">
        <v>295</v>
      </c>
      <c r="C122" t="s">
        <v>300</v>
      </c>
      <c r="D122" s="8">
        <f>SUMIF('Original Budget'!$A:$A,A122,'Original Budget'!$E:$E)</f>
        <v>245000</v>
      </c>
      <c r="E122" s="8">
        <f>SUMIF('Package PO Plan'!$B:$B,A122,'Package PO Plan'!$F:$F)</f>
        <v>235000</v>
      </c>
      <c r="F122" s="8">
        <f>SUMIF('Commercial Events'!$B:$B,A122,'Commercial Events'!$K:$K)</f>
        <v>5000</v>
      </c>
      <c r="G122" s="8">
        <f t="shared" si="5"/>
        <v>240000</v>
      </c>
      <c r="H122" s="8">
        <f>SUMIF(Ledger!$B:$B,A122,Ledger!$H:$H)</f>
        <v>118000</v>
      </c>
      <c r="I122" s="6">
        <v>112000</v>
      </c>
      <c r="J122" s="8">
        <f>'Forecast Adjustments'!F82</f>
        <v>255000</v>
      </c>
      <c r="K122" s="7">
        <f t="shared" si="6"/>
        <v>-10000</v>
      </c>
      <c r="L122" t="s">
        <v>514</v>
      </c>
    </row>
    <row r="123" spans="1:12">
      <c r="A123" t="s">
        <v>301</v>
      </c>
      <c r="B123" t="s">
        <v>295</v>
      </c>
      <c r="C123" t="s">
        <v>302</v>
      </c>
      <c r="D123" s="8">
        <f>SUMIF('Original Budget'!$A:$A,A123,'Original Budget'!$E:$E)</f>
        <v>180000</v>
      </c>
      <c r="E123" s="8">
        <f>SUMIF('Package PO Plan'!$B:$B,A123,'Package PO Plan'!$F:$F)</f>
        <v>175000</v>
      </c>
      <c r="F123" s="8">
        <f>SUMIF('Commercial Events'!$B:$B,A123,'Commercial Events'!$K:$K)</f>
        <v>0</v>
      </c>
      <c r="G123" s="8">
        <f t="shared" si="5"/>
        <v>175000</v>
      </c>
      <c r="H123" s="8">
        <f>SUMIF(Ledger!$B:$B,A123,Ledger!$H:$H)</f>
        <v>82000</v>
      </c>
      <c r="I123" s="6">
        <v>77000</v>
      </c>
      <c r="J123" s="8">
        <f>'Forecast Adjustments'!F83</f>
        <v>175000</v>
      </c>
      <c r="K123" s="7">
        <f t="shared" si="6"/>
        <v>5000</v>
      </c>
      <c r="L123" t="s">
        <v>515</v>
      </c>
    </row>
    <row r="124" spans="1:12">
      <c r="A124" t="s">
        <v>303</v>
      </c>
      <c r="B124" t="s">
        <v>295</v>
      </c>
      <c r="C124" t="s">
        <v>304</v>
      </c>
      <c r="D124" s="8">
        <f>SUMIF('Original Budget'!$A:$A,A124,'Original Budget'!$E:$E)</f>
        <v>24000</v>
      </c>
      <c r="E124" s="8">
        <f>SUMIF('Package PO Plan'!$B:$B,A124,'Package PO Plan'!$F:$F)</f>
        <v>0</v>
      </c>
      <c r="F124" s="8">
        <f>SUMIF('Commercial Events'!$B:$B,A124,'Commercial Events'!$K:$K)</f>
        <v>0</v>
      </c>
      <c r="G124" s="8">
        <f t="shared" si="5"/>
        <v>0</v>
      </c>
      <c r="H124" s="8">
        <f>SUMIF(Ledger!$B:$B,A124,Ledger!$H:$H)</f>
        <v>0</v>
      </c>
      <c r="I124" s="6">
        <v>0</v>
      </c>
      <c r="J124" s="8">
        <f>'Forecast Adjustments'!F84</f>
        <v>24000</v>
      </c>
      <c r="K124" s="7">
        <f t="shared" si="6"/>
        <v>0</v>
      </c>
    </row>
    <row r="125" spans="1:12">
      <c r="A125" t="s">
        <v>305</v>
      </c>
      <c r="B125" t="s">
        <v>295</v>
      </c>
      <c r="C125" t="s">
        <v>306</v>
      </c>
      <c r="D125" s="8">
        <f>SUMIF('Original Budget'!$A:$A,A125,'Original Budget'!$E:$E)</f>
        <v>48000</v>
      </c>
      <c r="E125" s="8">
        <f>SUMIF('Package PO Plan'!$B:$B,A125,'Package PO Plan'!$F:$F)</f>
        <v>0</v>
      </c>
      <c r="F125" s="8">
        <f>SUMIF('Commercial Events'!$B:$B,A125,'Commercial Events'!$K:$K)</f>
        <v>0</v>
      </c>
      <c r="G125" s="8">
        <f t="shared" si="5"/>
        <v>0</v>
      </c>
      <c r="H125" s="8">
        <f>SUMIF(Ledger!$B:$B,A125,Ledger!$H:$H)</f>
        <v>0</v>
      </c>
      <c r="I125" s="6">
        <v>0</v>
      </c>
      <c r="J125" s="8">
        <f>'Forecast Adjustments'!F85</f>
        <v>48000</v>
      </c>
      <c r="K125" s="7">
        <f t="shared" si="6"/>
        <v>0</v>
      </c>
    </row>
    <row r="126" spans="1:12">
      <c r="A126" t="s">
        <v>307</v>
      </c>
      <c r="B126" t="s">
        <v>295</v>
      </c>
      <c r="C126" t="s">
        <v>308</v>
      </c>
      <c r="D126" s="8">
        <f>SUMIF('Original Budget'!$A:$A,A126,'Original Budget'!$E:$E)</f>
        <v>38000</v>
      </c>
      <c r="E126" s="8">
        <f>SUMIF('Package PO Plan'!$B:$B,A126,'Package PO Plan'!$F:$F)</f>
        <v>0</v>
      </c>
      <c r="F126" s="8">
        <f>SUMIF('Commercial Events'!$B:$B,A126,'Commercial Events'!$K:$K)</f>
        <v>0</v>
      </c>
      <c r="G126" s="8">
        <f t="shared" si="5"/>
        <v>0</v>
      </c>
      <c r="H126" s="8">
        <f>SUMIF(Ledger!$B:$B,A126,Ledger!$H:$H)</f>
        <v>0</v>
      </c>
      <c r="I126" s="6">
        <v>0</v>
      </c>
      <c r="J126" s="8">
        <f>'Forecast Adjustments'!F86</f>
        <v>38000</v>
      </c>
      <c r="K126" s="7">
        <f t="shared" si="6"/>
        <v>0</v>
      </c>
    </row>
    <row r="127" spans="1:12">
      <c r="A127" t="s">
        <v>309</v>
      </c>
      <c r="B127" t="s">
        <v>295</v>
      </c>
      <c r="C127" t="s">
        <v>310</v>
      </c>
      <c r="D127" s="8">
        <f>SUMIF('Original Budget'!$A:$A,A127,'Original Budget'!$E:$E)</f>
        <v>22000</v>
      </c>
      <c r="E127" s="8">
        <f>SUMIF('Package PO Plan'!$B:$B,A127,'Package PO Plan'!$F:$F)</f>
        <v>0</v>
      </c>
      <c r="F127" s="8">
        <f>SUMIF('Commercial Events'!$B:$B,A127,'Commercial Events'!$K:$K)</f>
        <v>0</v>
      </c>
      <c r="G127" s="8">
        <f t="shared" si="5"/>
        <v>0</v>
      </c>
      <c r="H127" s="8">
        <f>SUMIF(Ledger!$B:$B,A127,Ledger!$H:$H)</f>
        <v>0</v>
      </c>
      <c r="I127" s="6">
        <v>0</v>
      </c>
      <c r="J127" s="8">
        <f>'Forecast Adjustments'!F87</f>
        <v>22000</v>
      </c>
      <c r="K127" s="7">
        <f t="shared" si="6"/>
        <v>0</v>
      </c>
    </row>
    <row r="128" spans="1:12">
      <c r="A128" t="s">
        <v>311</v>
      </c>
      <c r="B128" t="s">
        <v>295</v>
      </c>
      <c r="C128" t="s">
        <v>312</v>
      </c>
      <c r="D128" s="8">
        <f>SUMIF('Original Budget'!$A:$A,A128,'Original Budget'!$E:$E)</f>
        <v>115000</v>
      </c>
      <c r="E128" s="8">
        <f>SUMIF('Package PO Plan'!$B:$B,A128,'Package PO Plan'!$F:$F)</f>
        <v>110000</v>
      </c>
      <c r="F128" s="8">
        <f>SUMIF('Commercial Events'!$B:$B,A128,'Commercial Events'!$K:$K)</f>
        <v>0</v>
      </c>
      <c r="G128" s="8">
        <f t="shared" si="5"/>
        <v>110000</v>
      </c>
      <c r="H128" s="8">
        <f>SUMIF(Ledger!$B:$B,A128,Ledger!$H:$H)</f>
        <v>42000</v>
      </c>
      <c r="I128" s="6">
        <v>30000</v>
      </c>
      <c r="J128" s="8">
        <f>'Forecast Adjustments'!F88</f>
        <v>118000</v>
      </c>
      <c r="K128" s="7">
        <f t="shared" si="6"/>
        <v>-3000</v>
      </c>
      <c r="L128" t="s">
        <v>516</v>
      </c>
    </row>
    <row r="129" spans="1:12">
      <c r="A129" t="s">
        <v>313</v>
      </c>
      <c r="B129" t="s">
        <v>295</v>
      </c>
      <c r="C129" t="s">
        <v>314</v>
      </c>
      <c r="D129" s="8">
        <f>SUMIF('Original Budget'!$A:$A,A129,'Original Budget'!$E:$E)</f>
        <v>72000</v>
      </c>
      <c r="E129" s="8">
        <f>SUMIF('Package PO Plan'!$B:$B,A129,'Package PO Plan'!$F:$F)</f>
        <v>0</v>
      </c>
      <c r="F129" s="8">
        <f>SUMIF('Commercial Events'!$B:$B,A129,'Commercial Events'!$K:$K)</f>
        <v>0</v>
      </c>
      <c r="G129" s="8">
        <f t="shared" si="5"/>
        <v>0</v>
      </c>
      <c r="H129" s="8">
        <f>SUMIF(Ledger!$B:$B,A129,Ledger!$H:$H)</f>
        <v>0</v>
      </c>
      <c r="I129" s="6">
        <v>0</v>
      </c>
      <c r="J129" s="8">
        <f>'Forecast Adjustments'!F89</f>
        <v>72000</v>
      </c>
      <c r="K129" s="7">
        <f t="shared" si="6"/>
        <v>0</v>
      </c>
    </row>
    <row r="130" spans="1:12">
      <c r="A130" t="s">
        <v>315</v>
      </c>
      <c r="B130" t="s">
        <v>295</v>
      </c>
      <c r="C130" t="s">
        <v>316</v>
      </c>
      <c r="D130" s="8">
        <f>SUMIF('Original Budget'!$A:$A,A130,'Original Budget'!$E:$E)</f>
        <v>125000</v>
      </c>
      <c r="E130" s="8">
        <f>SUMIF('Package PO Plan'!$B:$B,A130,'Package PO Plan'!$F:$F)</f>
        <v>122000</v>
      </c>
      <c r="F130" s="8">
        <f>SUMIF('Commercial Events'!$B:$B,A130,'Commercial Events'!$K:$K)</f>
        <v>-3000</v>
      </c>
      <c r="G130" s="8">
        <f t="shared" si="5"/>
        <v>119000</v>
      </c>
      <c r="H130" s="8">
        <f>SUMIF(Ledger!$B:$B,A130,Ledger!$H:$H)</f>
        <v>46000</v>
      </c>
      <c r="I130" s="6">
        <v>36000</v>
      </c>
      <c r="J130" s="8">
        <f>'Forecast Adjustments'!F90</f>
        <v>119000</v>
      </c>
      <c r="K130" s="7">
        <f t="shared" si="6"/>
        <v>6000</v>
      </c>
      <c r="L130" t="s">
        <v>517</v>
      </c>
    </row>
    <row r="131" spans="1:12">
      <c r="A131" t="s">
        <v>317</v>
      </c>
      <c r="B131" t="s">
        <v>295</v>
      </c>
      <c r="C131" t="s">
        <v>318</v>
      </c>
      <c r="D131" s="8">
        <f>SUMIF('Original Budget'!$A:$A,A131,'Original Budget'!$E:$E)</f>
        <v>18000</v>
      </c>
      <c r="E131" s="8">
        <f>SUMIF('Package PO Plan'!$B:$B,A131,'Package PO Plan'!$F:$F)</f>
        <v>0</v>
      </c>
      <c r="F131" s="8">
        <f>SUMIF('Commercial Events'!$B:$B,A131,'Commercial Events'!$K:$K)</f>
        <v>0</v>
      </c>
      <c r="G131" s="8">
        <f t="shared" si="5"/>
        <v>0</v>
      </c>
      <c r="H131" s="8">
        <f>SUMIF(Ledger!$B:$B,A131,Ledger!$H:$H)</f>
        <v>0</v>
      </c>
      <c r="I131" s="6">
        <v>0</v>
      </c>
      <c r="J131" s="8">
        <f>'Forecast Adjustments'!F91</f>
        <v>18000</v>
      </c>
      <c r="K131" s="7">
        <f t="shared" si="6"/>
        <v>0</v>
      </c>
    </row>
    <row r="132" spans="1:12">
      <c r="A132" t="s">
        <v>319</v>
      </c>
      <c r="B132" t="s">
        <v>295</v>
      </c>
      <c r="C132" t="s">
        <v>320</v>
      </c>
      <c r="D132" s="8">
        <f>SUMIF('Original Budget'!$A:$A,A132,'Original Budget'!$E:$E)</f>
        <v>38000</v>
      </c>
      <c r="E132" s="8">
        <f>SUMIF('Package PO Plan'!$B:$B,A132,'Package PO Plan'!$F:$F)</f>
        <v>0</v>
      </c>
      <c r="F132" s="8">
        <f>SUMIF('Commercial Events'!$B:$B,A132,'Commercial Events'!$K:$K)</f>
        <v>0</v>
      </c>
      <c r="G132" s="8">
        <f t="shared" si="5"/>
        <v>0</v>
      </c>
      <c r="H132" s="8">
        <f>SUMIF(Ledger!$B:$B,A132,Ledger!$H:$H)</f>
        <v>0</v>
      </c>
      <c r="I132" s="6">
        <v>0</v>
      </c>
      <c r="J132" s="8">
        <f>'Forecast Adjustments'!F92</f>
        <v>38000</v>
      </c>
      <c r="K132" s="7">
        <f t="shared" si="6"/>
        <v>0</v>
      </c>
    </row>
    <row r="133" spans="1:12">
      <c r="A133" t="s">
        <v>321</v>
      </c>
      <c r="B133" t="s">
        <v>295</v>
      </c>
      <c r="C133" t="s">
        <v>322</v>
      </c>
      <c r="D133" s="8">
        <f>SUMIF('Original Budget'!$A:$A,A133,'Original Budget'!$E:$E)</f>
        <v>128000</v>
      </c>
      <c r="E133" s="8">
        <f>SUMIF('Package PO Plan'!$B:$B,A133,'Package PO Plan'!$F:$F)</f>
        <v>125000</v>
      </c>
      <c r="F133" s="8">
        <f>SUMIF('Commercial Events'!$B:$B,A133,'Commercial Events'!$K:$K)</f>
        <v>0</v>
      </c>
      <c r="G133" s="8">
        <f t="shared" si="5"/>
        <v>125000</v>
      </c>
      <c r="H133" s="8">
        <f>SUMIF(Ledger!$B:$B,A133,Ledger!$H:$H)</f>
        <v>68000</v>
      </c>
      <c r="I133" s="6">
        <v>60000</v>
      </c>
      <c r="J133" s="8">
        <f>'Forecast Adjustments'!F93</f>
        <v>125000</v>
      </c>
      <c r="K133" s="7">
        <f t="shared" si="6"/>
        <v>3000</v>
      </c>
      <c r="L133" t="s">
        <v>518</v>
      </c>
    </row>
    <row r="134" spans="1:12">
      <c r="A134" t="s">
        <v>323</v>
      </c>
      <c r="B134" t="s">
        <v>295</v>
      </c>
      <c r="C134" t="s">
        <v>324</v>
      </c>
      <c r="D134" s="8">
        <f>SUMIF('Original Budget'!$A:$A,A134,'Original Budget'!$E:$E)</f>
        <v>190000</v>
      </c>
      <c r="E134" s="8">
        <f>SUMIF('Package PO Plan'!$B:$B,A134,'Package PO Plan'!$F:$F)</f>
        <v>185000</v>
      </c>
      <c r="F134" s="8">
        <f>SUMIF('Commercial Events'!$B:$B,A134,'Commercial Events'!$K:$K)</f>
        <v>-6000</v>
      </c>
      <c r="G134" s="8">
        <f t="shared" si="5"/>
        <v>179000</v>
      </c>
      <c r="H134" s="8">
        <f>SUMIF(Ledger!$B:$B,A134,Ledger!$H:$H)</f>
        <v>92000</v>
      </c>
      <c r="I134" s="6">
        <v>87000</v>
      </c>
      <c r="J134" s="8">
        <f>'Forecast Adjustments'!F94</f>
        <v>179000</v>
      </c>
      <c r="K134" s="7">
        <f t="shared" si="6"/>
        <v>11000</v>
      </c>
      <c r="L134" t="s">
        <v>519</v>
      </c>
    </row>
    <row r="135" spans="1:12">
      <c r="A135" t="s">
        <v>325</v>
      </c>
      <c r="B135" t="s">
        <v>295</v>
      </c>
      <c r="C135" t="s">
        <v>326</v>
      </c>
      <c r="D135" s="8">
        <f>SUMIF('Original Budget'!$A:$A,A135,'Original Budget'!$E:$E)</f>
        <v>145000</v>
      </c>
      <c r="E135" s="8">
        <f>SUMIF('Package PO Plan'!$B:$B,A135,'Package PO Plan'!$F:$F)</f>
        <v>140000</v>
      </c>
      <c r="F135" s="8">
        <f>SUMIF('Commercial Events'!$B:$B,A135,'Commercial Events'!$K:$K)</f>
        <v>16000</v>
      </c>
      <c r="G135" s="8">
        <f t="shared" si="5"/>
        <v>156000</v>
      </c>
      <c r="H135" s="8">
        <f>SUMIF(Ledger!$B:$B,A135,Ledger!$H:$H)</f>
        <v>72000</v>
      </c>
      <c r="I135" s="6">
        <v>60000</v>
      </c>
      <c r="J135" s="8">
        <f>'Forecast Adjustments'!F95</f>
        <v>156000</v>
      </c>
      <c r="K135" s="7">
        <f t="shared" si="6"/>
        <v>-11000</v>
      </c>
      <c r="L135" t="s">
        <v>520</v>
      </c>
    </row>
    <row r="136" spans="1:12">
      <c r="A136" t="s">
        <v>327</v>
      </c>
      <c r="B136" t="s">
        <v>295</v>
      </c>
      <c r="C136" t="s">
        <v>328</v>
      </c>
      <c r="D136" s="8">
        <f>SUMIF('Original Budget'!$A:$A,A136,'Original Budget'!$E:$E)</f>
        <v>118000</v>
      </c>
      <c r="E136" s="8">
        <f>SUMIF('Package PO Plan'!$B:$B,A136,'Package PO Plan'!$F:$F)</f>
        <v>112000</v>
      </c>
      <c r="F136" s="8">
        <f>SUMIF('Commercial Events'!$B:$B,A136,'Commercial Events'!$K:$K)</f>
        <v>0</v>
      </c>
      <c r="G136" s="8">
        <f t="shared" si="5"/>
        <v>112000</v>
      </c>
      <c r="H136" s="8">
        <f>SUMIF(Ledger!$B:$B,A136,Ledger!$H:$H)</f>
        <v>30000</v>
      </c>
      <c r="I136" s="6">
        <v>30000</v>
      </c>
      <c r="J136" s="8">
        <f>'Forecast Adjustments'!F96</f>
        <v>118000</v>
      </c>
      <c r="K136" s="7">
        <f t="shared" si="6"/>
        <v>0</v>
      </c>
    </row>
    <row r="137" spans="1:12">
      <c r="A137" t="s">
        <v>329</v>
      </c>
      <c r="B137" t="s">
        <v>295</v>
      </c>
      <c r="C137" t="s">
        <v>330</v>
      </c>
      <c r="D137" s="8">
        <f>SUMIF('Original Budget'!$A:$A,A137,'Original Budget'!$E:$E)</f>
        <v>58000</v>
      </c>
      <c r="E137" s="8">
        <f>SUMIF('Package PO Plan'!$B:$B,A137,'Package PO Plan'!$F:$F)</f>
        <v>55000</v>
      </c>
      <c r="F137" s="8">
        <f>SUMIF('Commercial Events'!$B:$B,A137,'Commercial Events'!$K:$K)</f>
        <v>0</v>
      </c>
      <c r="G137" s="8">
        <f t="shared" si="5"/>
        <v>55000</v>
      </c>
      <c r="H137" s="8">
        <f>SUMIF(Ledger!$B:$B,A137,Ledger!$H:$H)</f>
        <v>0</v>
      </c>
      <c r="I137" s="6">
        <v>0</v>
      </c>
      <c r="J137" s="8">
        <f>'Forecast Adjustments'!F97</f>
        <v>58000</v>
      </c>
      <c r="K137" s="7">
        <f t="shared" si="6"/>
        <v>0</v>
      </c>
    </row>
    <row r="138" spans="1:12">
      <c r="A138" t="s">
        <v>331</v>
      </c>
      <c r="B138" t="s">
        <v>295</v>
      </c>
      <c r="C138" t="s">
        <v>332</v>
      </c>
      <c r="D138" s="8">
        <f>SUMIF('Original Budget'!$A:$A,A138,'Original Budget'!$E:$E)</f>
        <v>28000</v>
      </c>
      <c r="E138" s="8">
        <f>SUMIF('Package PO Plan'!$B:$B,A138,'Package PO Plan'!$F:$F)</f>
        <v>0</v>
      </c>
      <c r="F138" s="8">
        <f>SUMIF('Commercial Events'!$B:$B,A138,'Commercial Events'!$K:$K)</f>
        <v>0</v>
      </c>
      <c r="G138" s="8">
        <f t="shared" si="5"/>
        <v>0</v>
      </c>
      <c r="H138" s="8">
        <f>SUMIF(Ledger!$B:$B,A138,Ledger!$H:$H)</f>
        <v>0</v>
      </c>
      <c r="I138" s="6">
        <v>0</v>
      </c>
      <c r="J138" s="8">
        <f>'Forecast Adjustments'!F98</f>
        <v>28000</v>
      </c>
      <c r="K138" s="7">
        <f t="shared" si="6"/>
        <v>0</v>
      </c>
    </row>
    <row r="139" spans="1:12">
      <c r="A139" t="s">
        <v>333</v>
      </c>
      <c r="B139" t="s">
        <v>295</v>
      </c>
      <c r="C139" t="s">
        <v>334</v>
      </c>
      <c r="D139" s="8">
        <f>SUMIF('Original Budget'!$A:$A,A139,'Original Budget'!$E:$E)</f>
        <v>0</v>
      </c>
      <c r="E139" s="8">
        <f>SUMIF('Package PO Plan'!$B:$B,A139,'Package PO Plan'!$F:$F)</f>
        <v>0</v>
      </c>
      <c r="F139" s="8">
        <f>SUMIF('Commercial Events'!$B:$B,A139,'Commercial Events'!$K:$K)</f>
        <v>0</v>
      </c>
      <c r="G139" s="8">
        <f t="shared" si="5"/>
        <v>0</v>
      </c>
      <c r="H139" s="8">
        <f>SUMIF(Ledger!$B:$B,A139,Ledger!$H:$H)</f>
        <v>8500</v>
      </c>
      <c r="I139" s="6">
        <v>0</v>
      </c>
      <c r="J139" s="8">
        <f>'Forecast Adjustments'!F99</f>
        <v>8500</v>
      </c>
      <c r="K139" s="7">
        <f t="shared" si="6"/>
        <v>-8500</v>
      </c>
      <c r="L139" t="s">
        <v>976</v>
      </c>
    </row>
    <row r="140" spans="1:12">
      <c r="A140" t="s">
        <v>335</v>
      </c>
      <c r="B140" t="s">
        <v>295</v>
      </c>
      <c r="C140" t="s">
        <v>336</v>
      </c>
      <c r="D140" s="8">
        <f>SUMIF('Original Budget'!$A:$A,A140,'Original Budget'!$E:$E)</f>
        <v>62000</v>
      </c>
      <c r="E140" s="8">
        <f>SUMIF('Package PO Plan'!$B:$B,A140,'Package PO Plan'!$F:$F)</f>
        <v>0</v>
      </c>
      <c r="F140" s="8">
        <f>SUMIF('Commercial Events'!$B:$B,A140,'Commercial Events'!$K:$K)</f>
        <v>0</v>
      </c>
      <c r="G140" s="8">
        <f t="shared" si="5"/>
        <v>0</v>
      </c>
      <c r="H140" s="8">
        <f>SUMIF(Ledger!$B:$B,A140,Ledger!$H:$H)</f>
        <v>0</v>
      </c>
      <c r="I140" s="6">
        <v>0</v>
      </c>
      <c r="J140" s="8">
        <f>'Forecast Adjustments'!F100</f>
        <v>62000</v>
      </c>
      <c r="K140" s="7">
        <f t="shared" si="6"/>
        <v>0</v>
      </c>
    </row>
    <row r="141" spans="1:12">
      <c r="A141" t="s">
        <v>337</v>
      </c>
      <c r="B141" t="s">
        <v>295</v>
      </c>
      <c r="C141" t="s">
        <v>338</v>
      </c>
      <c r="D141" s="8">
        <f>SUMIF('Original Budget'!$A:$A,A141,'Original Budget'!$E:$E)</f>
        <v>38000</v>
      </c>
      <c r="E141" s="8">
        <f>SUMIF('Package PO Plan'!$B:$B,A141,'Package PO Plan'!$F:$F)</f>
        <v>0</v>
      </c>
      <c r="F141" s="8">
        <f>SUMIF('Commercial Events'!$B:$B,A141,'Commercial Events'!$K:$K)</f>
        <v>0</v>
      </c>
      <c r="G141" s="8">
        <f t="shared" si="5"/>
        <v>0</v>
      </c>
      <c r="H141" s="8">
        <f>SUMIF(Ledger!$B:$B,A141,Ledger!$H:$H)</f>
        <v>0</v>
      </c>
      <c r="I141" s="6">
        <v>0</v>
      </c>
      <c r="J141" s="8">
        <f>'Forecast Adjustments'!F101</f>
        <v>38000</v>
      </c>
      <c r="K141" s="7">
        <f t="shared" si="6"/>
        <v>0</v>
      </c>
    </row>
    <row r="142" spans="1:12">
      <c r="A142" t="s">
        <v>339</v>
      </c>
      <c r="B142" t="s">
        <v>295</v>
      </c>
      <c r="C142" t="s">
        <v>340</v>
      </c>
      <c r="D142" s="8">
        <f>SUMIF('Original Budget'!$A:$A,A142,'Original Budget'!$E:$E)</f>
        <v>20000</v>
      </c>
      <c r="E142" s="8">
        <f>SUMIF('Package PO Plan'!$B:$B,A142,'Package PO Plan'!$F:$F)</f>
        <v>0</v>
      </c>
      <c r="F142" s="8">
        <f>SUMIF('Commercial Events'!$B:$B,A142,'Commercial Events'!$K:$K)</f>
        <v>0</v>
      </c>
      <c r="G142" s="8">
        <f t="shared" ref="G142:G205" si="7">E142+F142</f>
        <v>0</v>
      </c>
      <c r="H142" s="8">
        <f>SUMIF(Ledger!$B:$B,A142,Ledger!$H:$H)</f>
        <v>0</v>
      </c>
      <c r="I142" s="6">
        <v>0</v>
      </c>
      <c r="J142" s="8">
        <f>'Forecast Adjustments'!F102</f>
        <v>20000</v>
      </c>
      <c r="K142" s="7">
        <f t="shared" ref="K142:K205" si="8">D142-J142</f>
        <v>0</v>
      </c>
    </row>
    <row r="143" spans="1:12">
      <c r="A143" t="s">
        <v>341</v>
      </c>
      <c r="B143" t="s">
        <v>295</v>
      </c>
      <c r="C143" t="s">
        <v>342</v>
      </c>
      <c r="D143" s="8">
        <f>SUMIF('Original Budget'!$A:$A,A143,'Original Budget'!$E:$E)</f>
        <v>18000</v>
      </c>
      <c r="E143" s="8">
        <f>SUMIF('Package PO Plan'!$B:$B,A143,'Package PO Plan'!$F:$F)</f>
        <v>0</v>
      </c>
      <c r="F143" s="8">
        <f>SUMIF('Commercial Events'!$B:$B,A143,'Commercial Events'!$K:$K)</f>
        <v>0</v>
      </c>
      <c r="G143" s="8">
        <f t="shared" si="7"/>
        <v>0</v>
      </c>
      <c r="H143" s="8">
        <f>SUMIF(Ledger!$B:$B,A143,Ledger!$H:$H)</f>
        <v>0</v>
      </c>
      <c r="I143" s="6">
        <v>0</v>
      </c>
      <c r="J143" s="8">
        <f>'Forecast Adjustments'!F103</f>
        <v>18000</v>
      </c>
      <c r="K143" s="7">
        <f t="shared" si="8"/>
        <v>0</v>
      </c>
    </row>
    <row r="144" spans="1:12">
      <c r="A144" t="s">
        <v>343</v>
      </c>
      <c r="B144" t="s">
        <v>295</v>
      </c>
      <c r="C144" t="s">
        <v>344</v>
      </c>
      <c r="D144" s="8">
        <f>SUMIF('Original Budget'!$A:$A,A144,'Original Budget'!$E:$E)</f>
        <v>92000</v>
      </c>
      <c r="E144" s="8">
        <f>SUMIF('Package PO Plan'!$B:$B,A144,'Package PO Plan'!$F:$F)</f>
        <v>88000</v>
      </c>
      <c r="F144" s="8">
        <f>SUMIF('Commercial Events'!$B:$B,A144,'Commercial Events'!$K:$K)</f>
        <v>0</v>
      </c>
      <c r="G144" s="8">
        <f t="shared" si="7"/>
        <v>88000</v>
      </c>
      <c r="H144" s="8">
        <f>SUMIF(Ledger!$B:$B,A144,Ledger!$H:$H)</f>
        <v>38000</v>
      </c>
      <c r="I144" s="6">
        <v>28000</v>
      </c>
      <c r="J144" s="8">
        <f>'Forecast Adjustments'!F104</f>
        <v>95000</v>
      </c>
      <c r="K144" s="7">
        <f t="shared" si="8"/>
        <v>-3000</v>
      </c>
      <c r="L144" t="s">
        <v>522</v>
      </c>
    </row>
    <row r="145" spans="1:12">
      <c r="A145" t="s">
        <v>345</v>
      </c>
      <c r="B145" t="s">
        <v>295</v>
      </c>
      <c r="C145" t="s">
        <v>346</v>
      </c>
      <c r="D145" s="8">
        <f>SUMIF('Original Budget'!$A:$A,A145,'Original Budget'!$E:$E)</f>
        <v>48000</v>
      </c>
      <c r="E145" s="8">
        <f>SUMIF('Package PO Plan'!$B:$B,A145,'Package PO Plan'!$F:$F)</f>
        <v>46000</v>
      </c>
      <c r="F145" s="8">
        <f>SUMIF('Commercial Events'!$B:$B,A145,'Commercial Events'!$K:$K)</f>
        <v>0</v>
      </c>
      <c r="G145" s="8">
        <f t="shared" si="7"/>
        <v>46000</v>
      </c>
      <c r="H145" s="8">
        <f>SUMIF(Ledger!$B:$B,A145,Ledger!$H:$H)</f>
        <v>18000</v>
      </c>
      <c r="I145" s="6">
        <v>18000</v>
      </c>
      <c r="J145" s="8">
        <f>'Forecast Adjustments'!F105</f>
        <v>48000</v>
      </c>
      <c r="K145" s="7">
        <f t="shared" si="8"/>
        <v>0</v>
      </c>
    </row>
    <row r="146" spans="1:12">
      <c r="A146" t="s">
        <v>347</v>
      </c>
      <c r="B146" t="s">
        <v>295</v>
      </c>
      <c r="C146" t="s">
        <v>348</v>
      </c>
      <c r="D146" s="8">
        <f>SUMIF('Original Budget'!$A:$A,A146,'Original Budget'!$E:$E)</f>
        <v>30000</v>
      </c>
      <c r="E146" s="8">
        <f>SUMIF('Package PO Plan'!$B:$B,A146,'Package PO Plan'!$F:$F)</f>
        <v>28000</v>
      </c>
      <c r="F146" s="8">
        <f>SUMIF('Commercial Events'!$B:$B,A146,'Commercial Events'!$K:$K)</f>
        <v>0</v>
      </c>
      <c r="G146" s="8">
        <f t="shared" si="7"/>
        <v>28000</v>
      </c>
      <c r="H146" s="8">
        <f>SUMIF(Ledger!$B:$B,A146,Ledger!$H:$H)</f>
        <v>0</v>
      </c>
      <c r="I146" s="6">
        <v>0</v>
      </c>
      <c r="J146" s="8">
        <f>'Forecast Adjustments'!F106</f>
        <v>28000</v>
      </c>
      <c r="K146" s="7">
        <f t="shared" si="8"/>
        <v>2000</v>
      </c>
      <c r="L146" t="s">
        <v>523</v>
      </c>
    </row>
    <row r="147" spans="1:12">
      <c r="A147" t="s">
        <v>349</v>
      </c>
      <c r="B147" t="s">
        <v>295</v>
      </c>
      <c r="C147" t="s">
        <v>350</v>
      </c>
      <c r="D147" s="8">
        <f>SUMIF('Original Budget'!$A:$A,A147,'Original Budget'!$E:$E)</f>
        <v>165000</v>
      </c>
      <c r="E147" s="8">
        <f>SUMIF('Package PO Plan'!$B:$B,A147,'Package PO Plan'!$F:$F)</f>
        <v>158000</v>
      </c>
      <c r="F147" s="8">
        <f>SUMIF('Commercial Events'!$B:$B,A147,'Commercial Events'!$K:$K)</f>
        <v>0</v>
      </c>
      <c r="G147" s="8">
        <f t="shared" si="7"/>
        <v>158000</v>
      </c>
      <c r="H147" s="8">
        <f>SUMIF(Ledger!$B:$B,A147,Ledger!$H:$H)</f>
        <v>105000</v>
      </c>
      <c r="I147" s="6">
        <v>0</v>
      </c>
      <c r="J147" s="8">
        <f>'Forecast Adjustments'!F107</f>
        <v>172000</v>
      </c>
      <c r="K147" s="7">
        <f t="shared" si="8"/>
        <v>-7000</v>
      </c>
      <c r="L147" t="s">
        <v>524</v>
      </c>
    </row>
    <row r="148" spans="1:12">
      <c r="A148" t="s">
        <v>351</v>
      </c>
      <c r="B148" t="s">
        <v>295</v>
      </c>
      <c r="C148" t="s">
        <v>352</v>
      </c>
      <c r="D148" s="8">
        <f>SUMIF('Original Budget'!$A:$A,A148,'Original Budget'!$E:$E)</f>
        <v>12000</v>
      </c>
      <c r="E148" s="8">
        <f>SUMIF('Package PO Plan'!$B:$B,A148,'Package PO Plan'!$F:$F)</f>
        <v>0</v>
      </c>
      <c r="F148" s="8">
        <f>SUMIF('Commercial Events'!$B:$B,A148,'Commercial Events'!$K:$K)</f>
        <v>0</v>
      </c>
      <c r="G148" s="8">
        <f t="shared" si="7"/>
        <v>0</v>
      </c>
      <c r="H148" s="8">
        <f>SUMIF(Ledger!$B:$B,A148,Ledger!$H:$H)</f>
        <v>0</v>
      </c>
      <c r="I148" s="6">
        <v>0</v>
      </c>
      <c r="J148" s="8">
        <f>'Forecast Adjustments'!F108</f>
        <v>12000</v>
      </c>
      <c r="K148" s="7">
        <f t="shared" si="8"/>
        <v>0</v>
      </c>
    </row>
    <row r="149" spans="1:12">
      <c r="A149" t="s">
        <v>353</v>
      </c>
      <c r="B149" t="s">
        <v>295</v>
      </c>
      <c r="C149" t="s">
        <v>354</v>
      </c>
      <c r="D149" s="8">
        <f>SUMIF('Original Budget'!$A:$A,A149,'Original Budget'!$E:$E)</f>
        <v>0</v>
      </c>
      <c r="E149" s="8">
        <f>SUMIF('Package PO Plan'!$B:$B,A149,'Package PO Plan'!$F:$F)</f>
        <v>0</v>
      </c>
      <c r="F149" s="8">
        <f>SUMIF('Commercial Events'!$B:$B,A149,'Commercial Events'!$K:$K)</f>
        <v>0</v>
      </c>
      <c r="G149" s="8">
        <f t="shared" si="7"/>
        <v>0</v>
      </c>
      <c r="H149" s="8">
        <f>SUMIF(Ledger!$B:$B,A149,Ledger!$H:$H)</f>
        <v>0</v>
      </c>
      <c r="I149" s="6">
        <v>0</v>
      </c>
      <c r="J149" s="7">
        <v>0</v>
      </c>
      <c r="K149" s="7">
        <f t="shared" si="8"/>
        <v>0</v>
      </c>
    </row>
    <row r="150" spans="1:12">
      <c r="A150" t="s">
        <v>355</v>
      </c>
      <c r="B150" t="s">
        <v>295</v>
      </c>
      <c r="C150" t="s">
        <v>356</v>
      </c>
      <c r="D150" s="8">
        <f>SUMIF('Original Budget'!$A:$A,A150,'Original Budget'!$E:$E)</f>
        <v>0</v>
      </c>
      <c r="E150" s="8">
        <f>SUMIF('Package PO Plan'!$B:$B,A150,'Package PO Plan'!$F:$F)</f>
        <v>0</v>
      </c>
      <c r="F150" s="8">
        <f>SUMIF('Commercial Events'!$B:$B,A150,'Commercial Events'!$K:$K)</f>
        <v>0</v>
      </c>
      <c r="G150" s="8">
        <f t="shared" si="7"/>
        <v>0</v>
      </c>
      <c r="H150" s="8">
        <f>SUMIF(Ledger!$B:$B,A150,Ledger!$H:$H)</f>
        <v>0</v>
      </c>
      <c r="I150" s="6">
        <v>0</v>
      </c>
      <c r="J150" s="7">
        <v>0</v>
      </c>
      <c r="K150" s="7">
        <f t="shared" si="8"/>
        <v>0</v>
      </c>
    </row>
    <row r="151" spans="1:12">
      <c r="A151" t="s">
        <v>357</v>
      </c>
      <c r="B151" t="s">
        <v>295</v>
      </c>
      <c r="C151" t="s">
        <v>358</v>
      </c>
      <c r="D151" s="8">
        <f>SUMIF('Original Budget'!$A:$A,A151,'Original Budget'!$E:$E)</f>
        <v>0</v>
      </c>
      <c r="E151" s="8">
        <f>SUMIF('Package PO Plan'!$B:$B,A151,'Package PO Plan'!$F:$F)</f>
        <v>0</v>
      </c>
      <c r="F151" s="8">
        <f>SUMIF('Commercial Events'!$B:$B,A151,'Commercial Events'!$K:$K)</f>
        <v>0</v>
      </c>
      <c r="G151" s="8">
        <f t="shared" si="7"/>
        <v>0</v>
      </c>
      <c r="H151" s="8">
        <f>SUMIF(Ledger!$B:$B,A151,Ledger!$H:$H)</f>
        <v>0</v>
      </c>
      <c r="I151" s="6">
        <v>0</v>
      </c>
      <c r="J151" s="7">
        <v>0</v>
      </c>
      <c r="K151" s="7">
        <f t="shared" si="8"/>
        <v>0</v>
      </c>
    </row>
    <row r="152" spans="1:12">
      <c r="A152" t="s">
        <v>359</v>
      </c>
      <c r="B152" t="s">
        <v>295</v>
      </c>
      <c r="C152" t="s">
        <v>360</v>
      </c>
      <c r="D152" s="8">
        <f>SUMIF('Original Budget'!$A:$A,A152,'Original Budget'!$E:$E)</f>
        <v>0</v>
      </c>
      <c r="E152" s="8">
        <f>SUMIF('Package PO Plan'!$B:$B,A152,'Package PO Plan'!$F:$F)</f>
        <v>0</v>
      </c>
      <c r="F152" s="8">
        <f>SUMIF('Commercial Events'!$B:$B,A152,'Commercial Events'!$K:$K)</f>
        <v>0</v>
      </c>
      <c r="G152" s="8">
        <f t="shared" si="7"/>
        <v>0</v>
      </c>
      <c r="H152" s="8">
        <f>SUMIF(Ledger!$B:$B,A152,Ledger!$H:$H)</f>
        <v>0</v>
      </c>
      <c r="I152" s="6">
        <v>0</v>
      </c>
      <c r="J152" s="7">
        <v>0</v>
      </c>
      <c r="K152" s="7">
        <f t="shared" si="8"/>
        <v>0</v>
      </c>
    </row>
    <row r="153" spans="1:12">
      <c r="A153" t="s">
        <v>361</v>
      </c>
      <c r="B153" t="s">
        <v>295</v>
      </c>
      <c r="C153" t="s">
        <v>362</v>
      </c>
      <c r="D153" s="8">
        <f>SUMIF('Original Budget'!$A:$A,A153,'Original Budget'!$E:$E)</f>
        <v>54000</v>
      </c>
      <c r="E153" s="8">
        <f>SUMIF('Package PO Plan'!$B:$B,A153,'Package PO Plan'!$F:$F)</f>
        <v>52000</v>
      </c>
      <c r="F153" s="8">
        <f>SUMIF('Commercial Events'!$B:$B,A153,'Commercial Events'!$K:$K)</f>
        <v>0</v>
      </c>
      <c r="G153" s="8">
        <f t="shared" si="7"/>
        <v>52000</v>
      </c>
      <c r="H153" s="8">
        <f>SUMIF(Ledger!$B:$B,A153,Ledger!$H:$H)</f>
        <v>33000</v>
      </c>
      <c r="I153" s="6">
        <v>0</v>
      </c>
      <c r="J153" s="8">
        <f>'Forecast Adjustments'!F109</f>
        <v>54000</v>
      </c>
      <c r="K153" s="7">
        <f t="shared" si="8"/>
        <v>0</v>
      </c>
    </row>
    <row r="154" spans="1:12">
      <c r="A154" t="s">
        <v>363</v>
      </c>
      <c r="B154" t="s">
        <v>295</v>
      </c>
      <c r="C154" t="s">
        <v>364</v>
      </c>
      <c r="D154" s="8">
        <f>SUMIF('Original Budget'!$A:$A,A154,'Original Budget'!$E:$E)</f>
        <v>42000</v>
      </c>
      <c r="E154" s="8">
        <f>SUMIF('Package PO Plan'!$B:$B,A154,'Package PO Plan'!$F:$F)</f>
        <v>40000</v>
      </c>
      <c r="F154" s="8">
        <f>SUMIF('Commercial Events'!$B:$B,A154,'Commercial Events'!$K:$K)</f>
        <v>0</v>
      </c>
      <c r="G154" s="8">
        <f t="shared" si="7"/>
        <v>40000</v>
      </c>
      <c r="H154" s="8">
        <f>SUMIF(Ledger!$B:$B,A154,Ledger!$H:$H)</f>
        <v>28000</v>
      </c>
      <c r="I154" s="6">
        <v>0</v>
      </c>
      <c r="J154" s="8">
        <f>'Forecast Adjustments'!F110</f>
        <v>42000</v>
      </c>
      <c r="K154" s="7">
        <f t="shared" si="8"/>
        <v>0</v>
      </c>
    </row>
    <row r="155" spans="1:12">
      <c r="A155" t="s">
        <v>365</v>
      </c>
      <c r="B155" t="s">
        <v>295</v>
      </c>
      <c r="C155" t="s">
        <v>366</v>
      </c>
      <c r="D155" s="8">
        <f>SUMIF('Original Budget'!$A:$A,A155,'Original Budget'!$E:$E)</f>
        <v>52000</v>
      </c>
      <c r="E155" s="8">
        <f>SUMIF('Package PO Plan'!$B:$B,A155,'Package PO Plan'!$F:$F)</f>
        <v>50000</v>
      </c>
      <c r="F155" s="8">
        <f>SUMIF('Commercial Events'!$B:$B,A155,'Commercial Events'!$K:$K)</f>
        <v>0</v>
      </c>
      <c r="G155" s="8">
        <f t="shared" si="7"/>
        <v>50000</v>
      </c>
      <c r="H155" s="8">
        <f>SUMIF(Ledger!$B:$B,A155,Ledger!$H:$H)</f>
        <v>31000</v>
      </c>
      <c r="I155" s="6">
        <v>0</v>
      </c>
      <c r="J155" s="8">
        <f>'Forecast Adjustments'!F111</f>
        <v>56000</v>
      </c>
      <c r="K155" s="7">
        <f t="shared" si="8"/>
        <v>-4000</v>
      </c>
      <c r="L155" t="s">
        <v>525</v>
      </c>
    </row>
    <row r="156" spans="1:12">
      <c r="A156" t="s">
        <v>367</v>
      </c>
      <c r="B156" t="s">
        <v>295</v>
      </c>
      <c r="C156" t="s">
        <v>368</v>
      </c>
      <c r="D156" s="8">
        <f>SUMIF('Original Budget'!$A:$A,A156,'Original Budget'!$E:$E)</f>
        <v>20000</v>
      </c>
      <c r="E156" s="8">
        <f>SUMIF('Package PO Plan'!$B:$B,A156,'Package PO Plan'!$F:$F)</f>
        <v>0</v>
      </c>
      <c r="F156" s="8">
        <f>SUMIF('Commercial Events'!$B:$B,A156,'Commercial Events'!$K:$K)</f>
        <v>0</v>
      </c>
      <c r="G156" s="8">
        <f t="shared" si="7"/>
        <v>0</v>
      </c>
      <c r="H156" s="8">
        <f>SUMIF(Ledger!$B:$B,A156,Ledger!$H:$H)</f>
        <v>0</v>
      </c>
      <c r="I156" s="6">
        <v>0</v>
      </c>
      <c r="J156" s="8">
        <f>'Forecast Adjustments'!F112</f>
        <v>20000</v>
      </c>
      <c r="K156" s="7">
        <f t="shared" si="8"/>
        <v>0</v>
      </c>
    </row>
    <row r="157" spans="1:12">
      <c r="A157" t="s">
        <v>369</v>
      </c>
      <c r="B157" t="s">
        <v>295</v>
      </c>
      <c r="C157" t="s">
        <v>370</v>
      </c>
      <c r="D157" s="8">
        <f>SUMIF('Original Budget'!$A:$A,A157,'Original Budget'!$E:$E)</f>
        <v>18000</v>
      </c>
      <c r="E157" s="8">
        <f>SUMIF('Package PO Plan'!$B:$B,A157,'Package PO Plan'!$F:$F)</f>
        <v>0</v>
      </c>
      <c r="F157" s="8">
        <f>SUMIF('Commercial Events'!$B:$B,A157,'Commercial Events'!$K:$K)</f>
        <v>0</v>
      </c>
      <c r="G157" s="8">
        <f t="shared" si="7"/>
        <v>0</v>
      </c>
      <c r="H157" s="8">
        <f>SUMIF(Ledger!$B:$B,A157,Ledger!$H:$H)</f>
        <v>0</v>
      </c>
      <c r="I157" s="6">
        <v>0</v>
      </c>
      <c r="J157" s="8">
        <f>'Forecast Adjustments'!F113</f>
        <v>18000</v>
      </c>
      <c r="K157" s="7">
        <f t="shared" si="8"/>
        <v>0</v>
      </c>
    </row>
    <row r="158" spans="1:12">
      <c r="A158" t="s">
        <v>371</v>
      </c>
      <c r="B158" t="s">
        <v>295</v>
      </c>
      <c r="C158" t="s">
        <v>372</v>
      </c>
      <c r="D158" s="8">
        <f>SUMIF('Original Budget'!$A:$A,A158,'Original Budget'!$E:$E)</f>
        <v>45000</v>
      </c>
      <c r="E158" s="8">
        <f>SUMIF('Package PO Plan'!$B:$B,A158,'Package PO Plan'!$F:$F)</f>
        <v>0</v>
      </c>
      <c r="F158" s="8">
        <f>SUMIF('Commercial Events'!$B:$B,A158,'Commercial Events'!$K:$K)</f>
        <v>0</v>
      </c>
      <c r="G158" s="8">
        <f t="shared" si="7"/>
        <v>0</v>
      </c>
      <c r="H158" s="8">
        <f>SUMIF(Ledger!$B:$B,A158,Ledger!$H:$H)</f>
        <v>23000</v>
      </c>
      <c r="I158" s="6">
        <v>0</v>
      </c>
      <c r="J158" s="8">
        <f>'Forecast Adjustments'!F114</f>
        <v>45000</v>
      </c>
      <c r="K158" s="7">
        <f t="shared" si="8"/>
        <v>0</v>
      </c>
    </row>
    <row r="159" spans="1:12">
      <c r="A159" t="s">
        <v>373</v>
      </c>
      <c r="B159" t="s">
        <v>295</v>
      </c>
      <c r="C159" t="s">
        <v>374</v>
      </c>
      <c r="D159" s="8">
        <f>SUMIF('Original Budget'!$A:$A,A159,'Original Budget'!$E:$E)</f>
        <v>0</v>
      </c>
      <c r="E159" s="8">
        <f>SUMIF('Package PO Plan'!$B:$B,A159,'Package PO Plan'!$F:$F)</f>
        <v>0</v>
      </c>
      <c r="F159" s="8">
        <f>SUMIF('Commercial Events'!$B:$B,A159,'Commercial Events'!$K:$K)</f>
        <v>0</v>
      </c>
      <c r="G159" s="8">
        <f t="shared" si="7"/>
        <v>0</v>
      </c>
      <c r="H159" s="8">
        <f>SUMIF(Ledger!$B:$B,A159,Ledger!$H:$H)</f>
        <v>0</v>
      </c>
      <c r="I159" s="6">
        <v>0</v>
      </c>
      <c r="J159" s="7">
        <v>0</v>
      </c>
      <c r="K159" s="7">
        <f t="shared" si="8"/>
        <v>0</v>
      </c>
    </row>
    <row r="160" spans="1:12">
      <c r="A160" t="s">
        <v>375</v>
      </c>
      <c r="B160" t="s">
        <v>295</v>
      </c>
      <c r="C160" t="s">
        <v>376</v>
      </c>
      <c r="D160" s="8">
        <f>SUMIF('Original Budget'!$A:$A,A160,'Original Budget'!$E:$E)</f>
        <v>0</v>
      </c>
      <c r="E160" s="8">
        <f>SUMIF('Package PO Plan'!$B:$B,A160,'Package PO Plan'!$F:$F)</f>
        <v>0</v>
      </c>
      <c r="F160" s="8">
        <f>SUMIF('Commercial Events'!$B:$B,A160,'Commercial Events'!$K:$K)</f>
        <v>0</v>
      </c>
      <c r="G160" s="8">
        <f t="shared" si="7"/>
        <v>0</v>
      </c>
      <c r="H160" s="8">
        <f>SUMIF(Ledger!$B:$B,A160,Ledger!$H:$H)</f>
        <v>0</v>
      </c>
      <c r="I160" s="6">
        <v>0</v>
      </c>
      <c r="J160" s="7">
        <v>0</v>
      </c>
      <c r="K160" s="7">
        <f t="shared" si="8"/>
        <v>0</v>
      </c>
    </row>
    <row r="161" spans="1:11">
      <c r="A161" t="s">
        <v>377</v>
      </c>
      <c r="B161" t="s">
        <v>295</v>
      </c>
      <c r="C161" t="s">
        <v>378</v>
      </c>
      <c r="D161" s="8">
        <f>SUMIF('Original Budget'!$A:$A,A161,'Original Budget'!$E:$E)</f>
        <v>78000</v>
      </c>
      <c r="E161" s="8">
        <f>SUMIF('Package PO Plan'!$B:$B,A161,'Package PO Plan'!$F:$F)</f>
        <v>0</v>
      </c>
      <c r="F161" s="8">
        <f>SUMIF('Commercial Events'!$B:$B,A161,'Commercial Events'!$K:$K)</f>
        <v>0</v>
      </c>
      <c r="G161" s="8">
        <f t="shared" si="7"/>
        <v>0</v>
      </c>
      <c r="H161" s="8">
        <f>SUMIF(Ledger!$B:$B,A161,Ledger!$H:$H)</f>
        <v>38000</v>
      </c>
      <c r="I161" s="6">
        <v>0</v>
      </c>
      <c r="J161" s="8">
        <f>'Forecast Adjustments'!F115</f>
        <v>78000</v>
      </c>
      <c r="K161" s="7">
        <f t="shared" si="8"/>
        <v>0</v>
      </c>
    </row>
    <row r="162" spans="1:11">
      <c r="A162" t="s">
        <v>379</v>
      </c>
      <c r="B162" t="s">
        <v>295</v>
      </c>
      <c r="C162" t="s">
        <v>380</v>
      </c>
      <c r="D162" s="8">
        <f>SUMIF('Original Budget'!$A:$A,A162,'Original Budget'!$E:$E)</f>
        <v>30000</v>
      </c>
      <c r="E162" s="8">
        <f>SUMIF('Package PO Plan'!$B:$B,A162,'Package PO Plan'!$F:$F)</f>
        <v>0</v>
      </c>
      <c r="F162" s="8">
        <f>SUMIF('Commercial Events'!$B:$B,A162,'Commercial Events'!$K:$K)</f>
        <v>0</v>
      </c>
      <c r="G162" s="8">
        <f t="shared" si="7"/>
        <v>0</v>
      </c>
      <c r="H162" s="8">
        <f>SUMIF(Ledger!$B:$B,A162,Ledger!$H:$H)</f>
        <v>0</v>
      </c>
      <c r="I162" s="6">
        <v>0</v>
      </c>
      <c r="J162" s="8">
        <f>'Forecast Adjustments'!F116</f>
        <v>30000</v>
      </c>
      <c r="K162" s="7">
        <f t="shared" si="8"/>
        <v>0</v>
      </c>
    </row>
    <row r="163" spans="1:11">
      <c r="A163" t="s">
        <v>381</v>
      </c>
      <c r="B163" t="s">
        <v>295</v>
      </c>
      <c r="C163" t="s">
        <v>382</v>
      </c>
      <c r="D163" s="8">
        <f>SUMIF('Original Budget'!$A:$A,A163,'Original Budget'!$E:$E)</f>
        <v>85000</v>
      </c>
      <c r="E163" s="8">
        <f>SUMIF('Package PO Plan'!$B:$B,A163,'Package PO Plan'!$F:$F)</f>
        <v>82000</v>
      </c>
      <c r="F163" s="8">
        <f>SUMIF('Commercial Events'!$B:$B,A163,'Commercial Events'!$K:$K)</f>
        <v>0</v>
      </c>
      <c r="G163" s="8">
        <f t="shared" si="7"/>
        <v>82000</v>
      </c>
      <c r="H163" s="8">
        <f>SUMIF(Ledger!$B:$B,A163,Ledger!$H:$H)</f>
        <v>46000</v>
      </c>
      <c r="I163" s="6">
        <v>0</v>
      </c>
      <c r="J163" s="8">
        <f>'Forecast Adjustments'!F117</f>
        <v>85000</v>
      </c>
      <c r="K163" s="7">
        <f t="shared" si="8"/>
        <v>0</v>
      </c>
    </row>
    <row r="164" spans="1:11">
      <c r="A164" t="s">
        <v>383</v>
      </c>
      <c r="B164" t="s">
        <v>295</v>
      </c>
      <c r="C164" t="s">
        <v>384</v>
      </c>
      <c r="D164" s="8">
        <f>SUMIF('Original Budget'!$A:$A,A164,'Original Budget'!$E:$E)</f>
        <v>35000</v>
      </c>
      <c r="E164" s="8">
        <f>SUMIF('Package PO Plan'!$B:$B,A164,'Package PO Plan'!$F:$F)</f>
        <v>0</v>
      </c>
      <c r="F164" s="8">
        <f>SUMIF('Commercial Events'!$B:$B,A164,'Commercial Events'!$K:$K)</f>
        <v>0</v>
      </c>
      <c r="G164" s="8">
        <f t="shared" si="7"/>
        <v>0</v>
      </c>
      <c r="H164" s="8">
        <f>SUMIF(Ledger!$B:$B,A164,Ledger!$H:$H)</f>
        <v>0</v>
      </c>
      <c r="I164" s="6">
        <v>0</v>
      </c>
      <c r="J164" s="8">
        <f>'Forecast Adjustments'!F118</f>
        <v>35000</v>
      </c>
      <c r="K164" s="7">
        <f t="shared" si="8"/>
        <v>0</v>
      </c>
    </row>
    <row r="165" spans="1:11">
      <c r="A165" t="s">
        <v>385</v>
      </c>
      <c r="B165" t="s">
        <v>295</v>
      </c>
      <c r="C165" t="s">
        <v>386</v>
      </c>
      <c r="D165" s="8">
        <f>SUMIF('Original Budget'!$A:$A,A165,'Original Budget'!$E:$E)</f>
        <v>34000</v>
      </c>
      <c r="E165" s="8">
        <f>SUMIF('Package PO Plan'!$B:$B,A165,'Package PO Plan'!$F:$F)</f>
        <v>0</v>
      </c>
      <c r="F165" s="8">
        <f>SUMIF('Commercial Events'!$B:$B,A165,'Commercial Events'!$K:$K)</f>
        <v>0</v>
      </c>
      <c r="G165" s="8">
        <f t="shared" si="7"/>
        <v>0</v>
      </c>
      <c r="H165" s="8">
        <f>SUMIF(Ledger!$B:$B,A165,Ledger!$H:$H)</f>
        <v>0</v>
      </c>
      <c r="I165" s="6">
        <v>0</v>
      </c>
      <c r="J165" s="8">
        <f>'Forecast Adjustments'!F119</f>
        <v>34000</v>
      </c>
      <c r="K165" s="7">
        <f t="shared" si="8"/>
        <v>0</v>
      </c>
    </row>
    <row r="166" spans="1:11">
      <c r="A166" t="s">
        <v>387</v>
      </c>
      <c r="B166" t="s">
        <v>295</v>
      </c>
      <c r="C166" t="s">
        <v>388</v>
      </c>
      <c r="D166" s="8">
        <f>SUMIF('Original Budget'!$A:$A,A166,'Original Budget'!$E:$E)</f>
        <v>38000</v>
      </c>
      <c r="E166" s="8">
        <f>SUMIF('Package PO Plan'!$B:$B,A166,'Package PO Plan'!$F:$F)</f>
        <v>0</v>
      </c>
      <c r="F166" s="8">
        <f>SUMIF('Commercial Events'!$B:$B,A166,'Commercial Events'!$K:$K)</f>
        <v>0</v>
      </c>
      <c r="G166" s="8">
        <f t="shared" si="7"/>
        <v>0</v>
      </c>
      <c r="H166" s="8">
        <f>SUMIF(Ledger!$B:$B,A166,Ledger!$H:$H)</f>
        <v>0</v>
      </c>
      <c r="I166" s="6">
        <v>0</v>
      </c>
      <c r="J166" s="8">
        <f>'Forecast Adjustments'!F120</f>
        <v>38000</v>
      </c>
      <c r="K166" s="7">
        <f t="shared" si="8"/>
        <v>0</v>
      </c>
    </row>
    <row r="167" spans="1:11">
      <c r="A167" t="s">
        <v>389</v>
      </c>
      <c r="B167" t="s">
        <v>295</v>
      </c>
      <c r="C167" t="s">
        <v>390</v>
      </c>
      <c r="D167" s="8">
        <f>SUMIF('Original Budget'!$A:$A,A167,'Original Budget'!$E:$E)</f>
        <v>10000</v>
      </c>
      <c r="E167" s="8">
        <f>SUMIF('Package PO Plan'!$B:$B,A167,'Package PO Plan'!$F:$F)</f>
        <v>0</v>
      </c>
      <c r="F167" s="8">
        <f>SUMIF('Commercial Events'!$B:$B,A167,'Commercial Events'!$K:$K)</f>
        <v>0</v>
      </c>
      <c r="G167" s="8">
        <f t="shared" si="7"/>
        <v>0</v>
      </c>
      <c r="H167" s="8">
        <f>SUMIF(Ledger!$B:$B,A167,Ledger!$H:$H)</f>
        <v>0</v>
      </c>
      <c r="I167" s="6">
        <v>0</v>
      </c>
      <c r="J167" s="8">
        <f>'Forecast Adjustments'!F121</f>
        <v>10000</v>
      </c>
      <c r="K167" s="7">
        <f t="shared" si="8"/>
        <v>0</v>
      </c>
    </row>
    <row r="168" spans="1:11">
      <c r="A168" t="s">
        <v>391</v>
      </c>
      <c r="B168" t="s">
        <v>295</v>
      </c>
      <c r="C168" t="s">
        <v>392</v>
      </c>
      <c r="D168" s="8">
        <f>SUMIF('Original Budget'!$A:$A,A168,'Original Budget'!$E:$E)</f>
        <v>18000</v>
      </c>
      <c r="E168" s="8">
        <f>SUMIF('Package PO Plan'!$B:$B,A168,'Package PO Plan'!$F:$F)</f>
        <v>0</v>
      </c>
      <c r="F168" s="8">
        <f>SUMIF('Commercial Events'!$B:$B,A168,'Commercial Events'!$K:$K)</f>
        <v>0</v>
      </c>
      <c r="G168" s="8">
        <f t="shared" si="7"/>
        <v>0</v>
      </c>
      <c r="H168" s="8">
        <f>SUMIF(Ledger!$B:$B,A168,Ledger!$H:$H)</f>
        <v>0</v>
      </c>
      <c r="I168" s="6">
        <v>0</v>
      </c>
      <c r="J168" s="8">
        <f>'Forecast Adjustments'!F122</f>
        <v>18000</v>
      </c>
      <c r="K168" s="7">
        <f t="shared" si="8"/>
        <v>0</v>
      </c>
    </row>
    <row r="169" spans="1:11">
      <c r="A169" t="s">
        <v>393</v>
      </c>
      <c r="B169" t="s">
        <v>295</v>
      </c>
      <c r="C169" t="s">
        <v>394</v>
      </c>
      <c r="D169" s="8">
        <f>SUMIF('Original Budget'!$A:$A,A169,'Original Budget'!$E:$E)</f>
        <v>28000</v>
      </c>
      <c r="E169" s="8">
        <f>SUMIF('Package PO Plan'!$B:$B,A169,'Package PO Plan'!$F:$F)</f>
        <v>0</v>
      </c>
      <c r="F169" s="8">
        <f>SUMIF('Commercial Events'!$B:$B,A169,'Commercial Events'!$K:$K)</f>
        <v>0</v>
      </c>
      <c r="G169" s="8">
        <f t="shared" si="7"/>
        <v>0</v>
      </c>
      <c r="H169" s="8">
        <f>SUMIF(Ledger!$B:$B,A169,Ledger!$H:$H)</f>
        <v>0</v>
      </c>
      <c r="I169" s="6">
        <v>0</v>
      </c>
      <c r="J169" s="8">
        <f>'Forecast Adjustments'!F123</f>
        <v>28000</v>
      </c>
      <c r="K169" s="7">
        <f t="shared" si="8"/>
        <v>0</v>
      </c>
    </row>
    <row r="170" spans="1:11">
      <c r="A170" t="s">
        <v>395</v>
      </c>
      <c r="B170" t="s">
        <v>295</v>
      </c>
      <c r="C170" t="s">
        <v>396</v>
      </c>
      <c r="D170" s="8">
        <f>SUMIF('Original Budget'!$A:$A,A170,'Original Budget'!$E:$E)</f>
        <v>42000</v>
      </c>
      <c r="E170" s="8">
        <f>SUMIF('Package PO Plan'!$B:$B,A170,'Package PO Plan'!$F:$F)</f>
        <v>40000</v>
      </c>
      <c r="F170" s="8">
        <f>SUMIF('Commercial Events'!$B:$B,A170,'Commercial Events'!$K:$K)</f>
        <v>0</v>
      </c>
      <c r="G170" s="8">
        <f t="shared" si="7"/>
        <v>40000</v>
      </c>
      <c r="H170" s="8">
        <f>SUMIF(Ledger!$B:$B,A170,Ledger!$H:$H)</f>
        <v>15000</v>
      </c>
      <c r="I170" s="6">
        <v>0</v>
      </c>
      <c r="J170" s="8">
        <f>'Forecast Adjustments'!F124</f>
        <v>42000</v>
      </c>
      <c r="K170" s="7">
        <f t="shared" si="8"/>
        <v>0</v>
      </c>
    </row>
    <row r="171" spans="1:11">
      <c r="A171" t="s">
        <v>397</v>
      </c>
      <c r="B171" t="s">
        <v>295</v>
      </c>
      <c r="C171" t="s">
        <v>398</v>
      </c>
      <c r="D171" s="8">
        <f>SUMIF('Original Budget'!$A:$A,A171,'Original Budget'!$E:$E)</f>
        <v>18000</v>
      </c>
      <c r="E171" s="8">
        <f>SUMIF('Package PO Plan'!$B:$B,A171,'Package PO Plan'!$F:$F)</f>
        <v>0</v>
      </c>
      <c r="F171" s="8">
        <f>SUMIF('Commercial Events'!$B:$B,A171,'Commercial Events'!$K:$K)</f>
        <v>0</v>
      </c>
      <c r="G171" s="8">
        <f t="shared" si="7"/>
        <v>0</v>
      </c>
      <c r="H171" s="8">
        <f>SUMIF(Ledger!$B:$B,A171,Ledger!$H:$H)</f>
        <v>0</v>
      </c>
      <c r="I171" s="6">
        <v>0</v>
      </c>
      <c r="J171" s="8">
        <f>'Forecast Adjustments'!F125</f>
        <v>18000</v>
      </c>
      <c r="K171" s="7">
        <f t="shared" si="8"/>
        <v>0</v>
      </c>
    </row>
    <row r="172" spans="1:11">
      <c r="A172" t="s">
        <v>399</v>
      </c>
      <c r="B172" t="s">
        <v>295</v>
      </c>
      <c r="C172" t="s">
        <v>400</v>
      </c>
      <c r="D172" s="8">
        <f>SUMIF('Original Budget'!$A:$A,A172,'Original Budget'!$E:$E)</f>
        <v>0</v>
      </c>
      <c r="E172" s="8">
        <f>SUMIF('Package PO Plan'!$B:$B,A172,'Package PO Plan'!$F:$F)</f>
        <v>0</v>
      </c>
      <c r="F172" s="8">
        <f>SUMIF('Commercial Events'!$B:$B,A172,'Commercial Events'!$K:$K)</f>
        <v>0</v>
      </c>
      <c r="G172" s="8">
        <f t="shared" si="7"/>
        <v>0</v>
      </c>
      <c r="H172" s="8">
        <f>SUMIF(Ledger!$B:$B,A172,Ledger!$H:$H)</f>
        <v>0</v>
      </c>
      <c r="I172" s="6">
        <v>0</v>
      </c>
      <c r="J172" s="7">
        <v>0</v>
      </c>
      <c r="K172" s="7">
        <f t="shared" si="8"/>
        <v>0</v>
      </c>
    </row>
    <row r="173" spans="1:11">
      <c r="A173" t="s">
        <v>401</v>
      </c>
      <c r="B173" t="s">
        <v>295</v>
      </c>
      <c r="C173" t="s">
        <v>402</v>
      </c>
      <c r="D173" s="8">
        <f>SUMIF('Original Budget'!$A:$A,A173,'Original Budget'!$E:$E)</f>
        <v>68000</v>
      </c>
      <c r="E173" s="8">
        <f>SUMIF('Package PO Plan'!$B:$B,A173,'Package PO Plan'!$F:$F)</f>
        <v>0</v>
      </c>
      <c r="F173" s="8">
        <f>SUMIF('Commercial Events'!$B:$B,A173,'Commercial Events'!$K:$K)</f>
        <v>0</v>
      </c>
      <c r="G173" s="8">
        <f t="shared" si="7"/>
        <v>0</v>
      </c>
      <c r="H173" s="8">
        <f>SUMIF(Ledger!$B:$B,A173,Ledger!$H:$H)</f>
        <v>29000</v>
      </c>
      <c r="I173" s="6">
        <v>0</v>
      </c>
      <c r="J173" s="8">
        <f>'Forecast Adjustments'!F126</f>
        <v>68000</v>
      </c>
      <c r="K173" s="7">
        <f t="shared" si="8"/>
        <v>0</v>
      </c>
    </row>
    <row r="174" spans="1:11">
      <c r="A174" t="s">
        <v>403</v>
      </c>
      <c r="B174" t="s">
        <v>295</v>
      </c>
      <c r="C174" t="s">
        <v>404</v>
      </c>
      <c r="D174" s="8">
        <f>SUMIF('Original Budget'!$A:$A,A174,'Original Budget'!$E:$E)</f>
        <v>12000</v>
      </c>
      <c r="E174" s="8">
        <f>SUMIF('Package PO Plan'!$B:$B,A174,'Package PO Plan'!$F:$F)</f>
        <v>0</v>
      </c>
      <c r="F174" s="8">
        <f>SUMIF('Commercial Events'!$B:$B,A174,'Commercial Events'!$K:$K)</f>
        <v>0</v>
      </c>
      <c r="G174" s="8">
        <f t="shared" si="7"/>
        <v>0</v>
      </c>
      <c r="H174" s="8">
        <f>SUMIF(Ledger!$B:$B,A174,Ledger!$H:$H)</f>
        <v>0</v>
      </c>
      <c r="I174" s="6">
        <v>0</v>
      </c>
      <c r="J174" s="8">
        <f>'Forecast Adjustments'!F127</f>
        <v>12000</v>
      </c>
      <c r="K174" s="7">
        <f t="shared" si="8"/>
        <v>0</v>
      </c>
    </row>
    <row r="175" spans="1:11">
      <c r="A175" t="s">
        <v>405</v>
      </c>
      <c r="B175" t="s">
        <v>295</v>
      </c>
      <c r="C175" t="s">
        <v>406</v>
      </c>
      <c r="D175" s="8">
        <f>SUMIF('Original Budget'!$A:$A,A175,'Original Budget'!$E:$E)</f>
        <v>0</v>
      </c>
      <c r="E175" s="8">
        <f>SUMIF('Package PO Plan'!$B:$B,A175,'Package PO Plan'!$F:$F)</f>
        <v>0</v>
      </c>
      <c r="F175" s="8">
        <f>SUMIF('Commercial Events'!$B:$B,A175,'Commercial Events'!$K:$K)</f>
        <v>0</v>
      </c>
      <c r="G175" s="8">
        <f t="shared" si="7"/>
        <v>0</v>
      </c>
      <c r="H175" s="8">
        <f>SUMIF(Ledger!$B:$B,A175,Ledger!$H:$H)</f>
        <v>0</v>
      </c>
      <c r="I175" s="6">
        <v>0</v>
      </c>
      <c r="J175" s="7">
        <v>0</v>
      </c>
      <c r="K175" s="7">
        <f t="shared" si="8"/>
        <v>0</v>
      </c>
    </row>
    <row r="176" spans="1:11">
      <c r="A176" t="s">
        <v>407</v>
      </c>
      <c r="B176" t="s">
        <v>295</v>
      </c>
      <c r="C176" t="s">
        <v>408</v>
      </c>
      <c r="D176" s="8">
        <f>SUMIF('Original Budget'!$A:$A,A176,'Original Budget'!$E:$E)</f>
        <v>9000</v>
      </c>
      <c r="E176" s="8">
        <f>SUMIF('Package PO Plan'!$B:$B,A176,'Package PO Plan'!$F:$F)</f>
        <v>0</v>
      </c>
      <c r="F176" s="8">
        <f>SUMIF('Commercial Events'!$B:$B,A176,'Commercial Events'!$K:$K)</f>
        <v>0</v>
      </c>
      <c r="G176" s="8">
        <f t="shared" si="7"/>
        <v>0</v>
      </c>
      <c r="H176" s="8">
        <f>SUMIF(Ledger!$B:$B,A176,Ledger!$H:$H)</f>
        <v>0</v>
      </c>
      <c r="I176" s="6">
        <v>0</v>
      </c>
      <c r="J176" s="8">
        <f>'Forecast Adjustments'!F128</f>
        <v>9000</v>
      </c>
      <c r="K176" s="7">
        <f t="shared" si="8"/>
        <v>0</v>
      </c>
    </row>
    <row r="177" spans="1:11">
      <c r="A177" t="s">
        <v>409</v>
      </c>
      <c r="B177" t="s">
        <v>295</v>
      </c>
      <c r="C177" t="s">
        <v>410</v>
      </c>
      <c r="D177" s="8">
        <f>SUMIF('Original Budget'!$A:$A,A177,'Original Budget'!$E:$E)</f>
        <v>0</v>
      </c>
      <c r="E177" s="8">
        <f>SUMIF('Package PO Plan'!$B:$B,A177,'Package PO Plan'!$F:$F)</f>
        <v>0</v>
      </c>
      <c r="F177" s="8">
        <f>SUMIF('Commercial Events'!$B:$B,A177,'Commercial Events'!$K:$K)</f>
        <v>0</v>
      </c>
      <c r="G177" s="8">
        <f t="shared" si="7"/>
        <v>0</v>
      </c>
      <c r="H177" s="8">
        <f>SUMIF(Ledger!$B:$B,A177,Ledger!$H:$H)</f>
        <v>0</v>
      </c>
      <c r="I177" s="6">
        <v>0</v>
      </c>
      <c r="J177" s="7">
        <v>0</v>
      </c>
      <c r="K177" s="7">
        <f t="shared" si="8"/>
        <v>0</v>
      </c>
    </row>
    <row r="178" spans="1:11">
      <c r="A178" t="s">
        <v>411</v>
      </c>
      <c r="B178" t="s">
        <v>295</v>
      </c>
      <c r="C178" t="s">
        <v>412</v>
      </c>
      <c r="D178" s="8">
        <f>SUMIF('Original Budget'!$A:$A,A178,'Original Budget'!$E:$E)</f>
        <v>0</v>
      </c>
      <c r="E178" s="8">
        <f>SUMIF('Package PO Plan'!$B:$B,A178,'Package PO Plan'!$F:$F)</f>
        <v>0</v>
      </c>
      <c r="F178" s="8">
        <f>SUMIF('Commercial Events'!$B:$B,A178,'Commercial Events'!$K:$K)</f>
        <v>0</v>
      </c>
      <c r="G178" s="8">
        <f t="shared" si="7"/>
        <v>0</v>
      </c>
      <c r="H178" s="8">
        <f>SUMIF(Ledger!$B:$B,A178,Ledger!$H:$H)</f>
        <v>0</v>
      </c>
      <c r="I178" s="6">
        <v>0</v>
      </c>
      <c r="J178" s="7">
        <v>0</v>
      </c>
      <c r="K178" s="7">
        <f t="shared" si="8"/>
        <v>0</v>
      </c>
    </row>
    <row r="179" spans="1:11">
      <c r="A179" t="s">
        <v>413</v>
      </c>
      <c r="B179" t="s">
        <v>295</v>
      </c>
      <c r="C179" t="s">
        <v>414</v>
      </c>
      <c r="D179" s="8">
        <f>SUMIF('Original Budget'!$A:$A,A179,'Original Budget'!$E:$E)</f>
        <v>18000</v>
      </c>
      <c r="E179" s="8">
        <f>SUMIF('Package PO Plan'!$B:$B,A179,'Package PO Plan'!$F:$F)</f>
        <v>0</v>
      </c>
      <c r="F179" s="8">
        <f>SUMIF('Commercial Events'!$B:$B,A179,'Commercial Events'!$K:$K)</f>
        <v>0</v>
      </c>
      <c r="G179" s="8">
        <f t="shared" si="7"/>
        <v>0</v>
      </c>
      <c r="H179" s="8">
        <f>SUMIF(Ledger!$B:$B,A179,Ledger!$H:$H)</f>
        <v>0</v>
      </c>
      <c r="I179" s="6">
        <v>0</v>
      </c>
      <c r="J179" s="8">
        <f>'Forecast Adjustments'!F129</f>
        <v>18000</v>
      </c>
      <c r="K179" s="7">
        <f t="shared" si="8"/>
        <v>0</v>
      </c>
    </row>
    <row r="180" spans="1:11">
      <c r="A180" t="s">
        <v>415</v>
      </c>
      <c r="B180" t="s">
        <v>416</v>
      </c>
      <c r="C180" t="s">
        <v>417</v>
      </c>
      <c r="D180" s="8">
        <f>SUMIF('Original Budget'!$A:$A,A180,'Original Budget'!$E:$E)</f>
        <v>80000</v>
      </c>
      <c r="E180" s="8">
        <f>SUMIF('Package PO Plan'!$B:$B,A180,'Package PO Plan'!$F:$F)</f>
        <v>76000</v>
      </c>
      <c r="F180" s="8">
        <f>SUMIF('Commercial Events'!$B:$B,A180,'Commercial Events'!$K:$K)</f>
        <v>0</v>
      </c>
      <c r="G180" s="8">
        <f t="shared" si="7"/>
        <v>76000</v>
      </c>
      <c r="H180" s="8">
        <f>SUMIF(Ledger!$B:$B,A180,Ledger!$H:$H)</f>
        <v>76000</v>
      </c>
      <c r="I180" s="6">
        <v>56000</v>
      </c>
      <c r="J180" s="8">
        <f>'Forecast Adjustments'!F130</f>
        <v>80000</v>
      </c>
      <c r="K180" s="7">
        <f t="shared" si="8"/>
        <v>0</v>
      </c>
    </row>
    <row r="181" spans="1:11">
      <c r="A181" t="s">
        <v>418</v>
      </c>
      <c r="B181" t="s">
        <v>416</v>
      </c>
      <c r="C181" t="s">
        <v>419</v>
      </c>
      <c r="D181" s="8">
        <f>SUMIF('Original Budget'!$A:$A,A181,'Original Budget'!$E:$E)</f>
        <v>0</v>
      </c>
      <c r="E181" s="8">
        <f>SUMIF('Package PO Plan'!$B:$B,A181,'Package PO Plan'!$F:$F)</f>
        <v>0</v>
      </c>
      <c r="F181" s="8">
        <f>SUMIF('Commercial Events'!$B:$B,A181,'Commercial Events'!$K:$K)</f>
        <v>0</v>
      </c>
      <c r="G181" s="8">
        <f t="shared" si="7"/>
        <v>0</v>
      </c>
      <c r="H181" s="8">
        <f>SUMIF(Ledger!$B:$B,A181,Ledger!$H:$H)</f>
        <v>0</v>
      </c>
      <c r="I181" s="6">
        <v>0</v>
      </c>
      <c r="J181" s="7">
        <v>0</v>
      </c>
      <c r="K181" s="7">
        <f t="shared" si="8"/>
        <v>0</v>
      </c>
    </row>
    <row r="182" spans="1:11">
      <c r="A182" t="s">
        <v>420</v>
      </c>
      <c r="B182" t="s">
        <v>416</v>
      </c>
      <c r="C182" t="s">
        <v>421</v>
      </c>
      <c r="D182" s="8">
        <f>SUMIF('Original Budget'!$A:$A,A182,'Original Budget'!$E:$E)</f>
        <v>18000</v>
      </c>
      <c r="E182" s="8">
        <f>SUMIF('Package PO Plan'!$B:$B,A182,'Package PO Plan'!$F:$F)</f>
        <v>0</v>
      </c>
      <c r="F182" s="8">
        <f>SUMIF('Commercial Events'!$B:$B,A182,'Commercial Events'!$K:$K)</f>
        <v>0</v>
      </c>
      <c r="G182" s="8">
        <f t="shared" si="7"/>
        <v>0</v>
      </c>
      <c r="H182" s="8">
        <f>SUMIF(Ledger!$B:$B,A182,Ledger!$H:$H)</f>
        <v>0</v>
      </c>
      <c r="I182" s="6">
        <v>0</v>
      </c>
      <c r="J182" s="8">
        <f>'Forecast Adjustments'!F131</f>
        <v>18000</v>
      </c>
      <c r="K182" s="7">
        <f t="shared" si="8"/>
        <v>0</v>
      </c>
    </row>
    <row r="183" spans="1:11">
      <c r="A183" t="s">
        <v>422</v>
      </c>
      <c r="B183" t="s">
        <v>416</v>
      </c>
      <c r="C183" t="s">
        <v>423</v>
      </c>
      <c r="D183" s="8">
        <f>SUMIF('Original Budget'!$A:$A,A183,'Original Budget'!$E:$E)</f>
        <v>0</v>
      </c>
      <c r="E183" s="8">
        <f>SUMIF('Package PO Plan'!$B:$B,A183,'Package PO Plan'!$F:$F)</f>
        <v>0</v>
      </c>
      <c r="F183" s="8">
        <f>SUMIF('Commercial Events'!$B:$B,A183,'Commercial Events'!$K:$K)</f>
        <v>0</v>
      </c>
      <c r="G183" s="8">
        <f t="shared" si="7"/>
        <v>0</v>
      </c>
      <c r="H183" s="8">
        <f>SUMIF(Ledger!$B:$B,A183,Ledger!$H:$H)</f>
        <v>0</v>
      </c>
      <c r="I183" s="6">
        <v>0</v>
      </c>
      <c r="J183" s="7">
        <v>0</v>
      </c>
      <c r="K183" s="7">
        <f t="shared" si="8"/>
        <v>0</v>
      </c>
    </row>
    <row r="184" spans="1:11">
      <c r="A184" t="s">
        <v>424</v>
      </c>
      <c r="B184" t="s">
        <v>416</v>
      </c>
      <c r="C184" t="s">
        <v>425</v>
      </c>
      <c r="D184" s="8">
        <f>SUMIF('Original Budget'!$A:$A,A184,'Original Budget'!$E:$E)</f>
        <v>0</v>
      </c>
      <c r="E184" s="8">
        <f>SUMIF('Package PO Plan'!$B:$B,A184,'Package PO Plan'!$F:$F)</f>
        <v>0</v>
      </c>
      <c r="F184" s="8">
        <f>SUMIF('Commercial Events'!$B:$B,A184,'Commercial Events'!$K:$K)</f>
        <v>0</v>
      </c>
      <c r="G184" s="8">
        <f t="shared" si="7"/>
        <v>0</v>
      </c>
      <c r="H184" s="8">
        <f>SUMIF(Ledger!$B:$B,A184,Ledger!$H:$H)</f>
        <v>0</v>
      </c>
      <c r="I184" s="6">
        <v>0</v>
      </c>
      <c r="J184" s="7">
        <v>0</v>
      </c>
      <c r="K184" s="7">
        <f t="shared" si="8"/>
        <v>0</v>
      </c>
    </row>
    <row r="185" spans="1:11">
      <c r="A185" t="s">
        <v>426</v>
      </c>
      <c r="B185" t="s">
        <v>416</v>
      </c>
      <c r="C185" t="s">
        <v>427</v>
      </c>
      <c r="D185" s="8">
        <f>SUMIF('Original Budget'!$A:$A,A185,'Original Budget'!$E:$E)</f>
        <v>0</v>
      </c>
      <c r="E185" s="8">
        <f>SUMIF('Package PO Plan'!$B:$B,A185,'Package PO Plan'!$F:$F)</f>
        <v>0</v>
      </c>
      <c r="F185" s="8">
        <f>SUMIF('Commercial Events'!$B:$B,A185,'Commercial Events'!$K:$K)</f>
        <v>0</v>
      </c>
      <c r="G185" s="8">
        <f t="shared" si="7"/>
        <v>0</v>
      </c>
      <c r="H185" s="8">
        <f>SUMIF(Ledger!$B:$B,A185,Ledger!$H:$H)</f>
        <v>0</v>
      </c>
      <c r="I185" s="6">
        <v>0</v>
      </c>
      <c r="J185" s="7">
        <v>0</v>
      </c>
      <c r="K185" s="7">
        <f t="shared" si="8"/>
        <v>0</v>
      </c>
    </row>
    <row r="186" spans="1:11">
      <c r="A186" t="s">
        <v>428</v>
      </c>
      <c r="B186" t="s">
        <v>416</v>
      </c>
      <c r="C186" t="s">
        <v>429</v>
      </c>
      <c r="D186" s="8">
        <f>SUMIF('Original Budget'!$A:$A,A186,'Original Budget'!$E:$E)</f>
        <v>0</v>
      </c>
      <c r="E186" s="8">
        <f>SUMIF('Package PO Plan'!$B:$B,A186,'Package PO Plan'!$F:$F)</f>
        <v>0</v>
      </c>
      <c r="F186" s="8">
        <f>SUMIF('Commercial Events'!$B:$B,A186,'Commercial Events'!$K:$K)</f>
        <v>0</v>
      </c>
      <c r="G186" s="8">
        <f t="shared" si="7"/>
        <v>0</v>
      </c>
      <c r="H186" s="8">
        <f>SUMIF(Ledger!$B:$B,A186,Ledger!$H:$H)</f>
        <v>0</v>
      </c>
      <c r="I186" s="6">
        <v>0</v>
      </c>
      <c r="J186" s="7">
        <v>0</v>
      </c>
      <c r="K186" s="7">
        <f t="shared" si="8"/>
        <v>0</v>
      </c>
    </row>
    <row r="187" spans="1:11">
      <c r="A187" t="s">
        <v>430</v>
      </c>
      <c r="B187" t="s">
        <v>416</v>
      </c>
      <c r="C187" t="s">
        <v>431</v>
      </c>
      <c r="D187" s="8">
        <f>SUMIF('Original Budget'!$A:$A,A187,'Original Budget'!$E:$E)</f>
        <v>95000</v>
      </c>
      <c r="E187" s="8">
        <f>SUMIF('Package PO Plan'!$B:$B,A187,'Package PO Plan'!$F:$F)</f>
        <v>0</v>
      </c>
      <c r="F187" s="8">
        <f>SUMIF('Commercial Events'!$B:$B,A187,'Commercial Events'!$K:$K)</f>
        <v>0</v>
      </c>
      <c r="G187" s="8">
        <f t="shared" si="7"/>
        <v>0</v>
      </c>
      <c r="H187" s="8">
        <f>SUMIF(Ledger!$B:$B,A187,Ledger!$H:$H)</f>
        <v>35000</v>
      </c>
      <c r="I187" s="6">
        <v>0</v>
      </c>
      <c r="J187" s="8">
        <f>'Forecast Adjustments'!F132</f>
        <v>95000</v>
      </c>
      <c r="K187" s="7">
        <f t="shared" si="8"/>
        <v>0</v>
      </c>
    </row>
    <row r="188" spans="1:11">
      <c r="A188" t="s">
        <v>432</v>
      </c>
      <c r="B188" t="s">
        <v>416</v>
      </c>
      <c r="C188" t="s">
        <v>433</v>
      </c>
      <c r="D188" s="8">
        <f>SUMIF('Original Budget'!$A:$A,A188,'Original Budget'!$E:$E)</f>
        <v>0</v>
      </c>
      <c r="E188" s="8">
        <f>SUMIF('Package PO Plan'!$B:$B,A188,'Package PO Plan'!$F:$F)</f>
        <v>0</v>
      </c>
      <c r="F188" s="8">
        <f>SUMIF('Commercial Events'!$B:$B,A188,'Commercial Events'!$K:$K)</f>
        <v>0</v>
      </c>
      <c r="G188" s="8">
        <f t="shared" si="7"/>
        <v>0</v>
      </c>
      <c r="H188" s="8">
        <f>SUMIF(Ledger!$B:$B,A188,Ledger!$H:$H)</f>
        <v>0</v>
      </c>
      <c r="I188" s="6">
        <v>0</v>
      </c>
      <c r="J188" s="7">
        <v>0</v>
      </c>
      <c r="K188" s="7">
        <f t="shared" si="8"/>
        <v>0</v>
      </c>
    </row>
    <row r="189" spans="1:11">
      <c r="A189" t="s">
        <v>434</v>
      </c>
      <c r="B189" t="s">
        <v>416</v>
      </c>
      <c r="C189" t="s">
        <v>435</v>
      </c>
      <c r="D189" s="8">
        <f>SUMIF('Original Budget'!$A:$A,A189,'Original Budget'!$E:$E)</f>
        <v>0</v>
      </c>
      <c r="E189" s="8">
        <f>SUMIF('Package PO Plan'!$B:$B,A189,'Package PO Plan'!$F:$F)</f>
        <v>0</v>
      </c>
      <c r="F189" s="8">
        <f>SUMIF('Commercial Events'!$B:$B,A189,'Commercial Events'!$K:$K)</f>
        <v>0</v>
      </c>
      <c r="G189" s="8">
        <f t="shared" si="7"/>
        <v>0</v>
      </c>
      <c r="H189" s="8">
        <f>SUMIF(Ledger!$B:$B,A189,Ledger!$H:$H)</f>
        <v>0</v>
      </c>
      <c r="I189" s="6">
        <v>0</v>
      </c>
      <c r="J189" s="7">
        <v>0</v>
      </c>
      <c r="K189" s="7">
        <f t="shared" si="8"/>
        <v>0</v>
      </c>
    </row>
    <row r="190" spans="1:11">
      <c r="A190" t="s">
        <v>436</v>
      </c>
      <c r="B190" t="s">
        <v>416</v>
      </c>
      <c r="C190" t="s">
        <v>437</v>
      </c>
      <c r="D190" s="8">
        <f>SUMIF('Original Budget'!$A:$A,A190,'Original Budget'!$E:$E)</f>
        <v>65000</v>
      </c>
      <c r="E190" s="8">
        <f>SUMIF('Package PO Plan'!$B:$B,A190,'Package PO Plan'!$F:$F)</f>
        <v>0</v>
      </c>
      <c r="F190" s="8">
        <f>SUMIF('Commercial Events'!$B:$B,A190,'Commercial Events'!$K:$K)</f>
        <v>0</v>
      </c>
      <c r="G190" s="8">
        <f t="shared" si="7"/>
        <v>0</v>
      </c>
      <c r="H190" s="8">
        <f>SUMIF(Ledger!$B:$B,A190,Ledger!$H:$H)</f>
        <v>18000</v>
      </c>
      <c r="I190" s="6">
        <v>0</v>
      </c>
      <c r="J190" s="8">
        <f>'Forecast Adjustments'!F133</f>
        <v>65000</v>
      </c>
      <c r="K190" s="7">
        <f t="shared" si="8"/>
        <v>0</v>
      </c>
    </row>
    <row r="191" spans="1:11">
      <c r="A191" t="s">
        <v>438</v>
      </c>
      <c r="B191" t="s">
        <v>416</v>
      </c>
      <c r="C191" t="s">
        <v>439</v>
      </c>
      <c r="D191" s="8">
        <f>SUMIF('Original Budget'!$A:$A,A191,'Original Budget'!$E:$E)</f>
        <v>0</v>
      </c>
      <c r="E191" s="8">
        <f>SUMIF('Package PO Plan'!$B:$B,A191,'Package PO Plan'!$F:$F)</f>
        <v>0</v>
      </c>
      <c r="F191" s="8">
        <f>SUMIF('Commercial Events'!$B:$B,A191,'Commercial Events'!$K:$K)</f>
        <v>0</v>
      </c>
      <c r="G191" s="8">
        <f t="shared" si="7"/>
        <v>0</v>
      </c>
      <c r="H191" s="8">
        <f>SUMIF(Ledger!$B:$B,A191,Ledger!$H:$H)</f>
        <v>0</v>
      </c>
      <c r="I191" s="6">
        <v>0</v>
      </c>
      <c r="J191" s="7">
        <v>0</v>
      </c>
      <c r="K191" s="7">
        <f t="shared" si="8"/>
        <v>0</v>
      </c>
    </row>
    <row r="192" spans="1:11">
      <c r="A192" t="s">
        <v>440</v>
      </c>
      <c r="B192" t="s">
        <v>416</v>
      </c>
      <c r="C192" t="s">
        <v>441</v>
      </c>
      <c r="D192" s="8">
        <f>SUMIF('Original Budget'!$A:$A,A192,'Original Budget'!$E:$E)</f>
        <v>0</v>
      </c>
      <c r="E192" s="8">
        <f>SUMIF('Package PO Plan'!$B:$B,A192,'Package PO Plan'!$F:$F)</f>
        <v>0</v>
      </c>
      <c r="F192" s="8">
        <f>SUMIF('Commercial Events'!$B:$B,A192,'Commercial Events'!$K:$K)</f>
        <v>0</v>
      </c>
      <c r="G192" s="8">
        <f t="shared" si="7"/>
        <v>0</v>
      </c>
      <c r="H192" s="8">
        <f>SUMIF(Ledger!$B:$B,A192,Ledger!$H:$H)</f>
        <v>0</v>
      </c>
      <c r="I192" s="6">
        <v>0</v>
      </c>
      <c r="J192" s="7">
        <v>0</v>
      </c>
      <c r="K192" s="7">
        <f t="shared" si="8"/>
        <v>0</v>
      </c>
    </row>
    <row r="193" spans="1:12">
      <c r="A193" t="s">
        <v>442</v>
      </c>
      <c r="B193" t="s">
        <v>416</v>
      </c>
      <c r="C193" t="s">
        <v>443</v>
      </c>
      <c r="D193" s="8">
        <f>SUMIF('Original Budget'!$A:$A,A193,'Original Budget'!$E:$E)</f>
        <v>0</v>
      </c>
      <c r="E193" s="8">
        <f>SUMIF('Package PO Plan'!$B:$B,A193,'Package PO Plan'!$F:$F)</f>
        <v>0</v>
      </c>
      <c r="F193" s="8">
        <f>SUMIF('Commercial Events'!$B:$B,A193,'Commercial Events'!$K:$K)</f>
        <v>0</v>
      </c>
      <c r="G193" s="8">
        <f t="shared" si="7"/>
        <v>0</v>
      </c>
      <c r="H193" s="8">
        <f>SUMIF(Ledger!$B:$B,A193,Ledger!$H:$H)</f>
        <v>0</v>
      </c>
      <c r="I193" s="6">
        <v>0</v>
      </c>
      <c r="J193" s="7">
        <v>0</v>
      </c>
      <c r="K193" s="7">
        <f t="shared" si="8"/>
        <v>0</v>
      </c>
    </row>
    <row r="194" spans="1:12">
      <c r="A194" t="s">
        <v>444</v>
      </c>
      <c r="B194" t="s">
        <v>416</v>
      </c>
      <c r="C194" t="s">
        <v>445</v>
      </c>
      <c r="D194" s="8">
        <f>SUMIF('Original Budget'!$A:$A,A194,'Original Budget'!$E:$E)</f>
        <v>55000</v>
      </c>
      <c r="E194" s="8">
        <f>SUMIF('Package PO Plan'!$B:$B,A194,'Package PO Plan'!$F:$F)</f>
        <v>0</v>
      </c>
      <c r="F194" s="8">
        <f>SUMIF('Commercial Events'!$B:$B,A194,'Commercial Events'!$K:$K)</f>
        <v>0</v>
      </c>
      <c r="G194" s="8">
        <f t="shared" si="7"/>
        <v>0</v>
      </c>
      <c r="H194" s="8">
        <f>SUMIF(Ledger!$B:$B,A194,Ledger!$H:$H)</f>
        <v>34000</v>
      </c>
      <c r="I194" s="6">
        <v>0</v>
      </c>
      <c r="J194" s="8">
        <f>'Forecast Adjustments'!F134</f>
        <v>55000</v>
      </c>
      <c r="K194" s="7">
        <f t="shared" si="8"/>
        <v>0</v>
      </c>
    </row>
    <row r="195" spans="1:12">
      <c r="A195" t="s">
        <v>446</v>
      </c>
      <c r="B195" t="s">
        <v>416</v>
      </c>
      <c r="C195" t="s">
        <v>447</v>
      </c>
      <c r="D195" s="8">
        <f>SUMIF('Original Budget'!$A:$A,A195,'Original Budget'!$E:$E)</f>
        <v>25000</v>
      </c>
      <c r="E195" s="8">
        <f>SUMIF('Package PO Plan'!$B:$B,A195,'Package PO Plan'!$F:$F)</f>
        <v>0</v>
      </c>
      <c r="F195" s="8">
        <f>SUMIF('Commercial Events'!$B:$B,A195,'Commercial Events'!$K:$K)</f>
        <v>0</v>
      </c>
      <c r="G195" s="8">
        <f t="shared" si="7"/>
        <v>0</v>
      </c>
      <c r="H195" s="8">
        <f>SUMIF(Ledger!$B:$B,A195,Ledger!$H:$H)</f>
        <v>0</v>
      </c>
      <c r="I195" s="6">
        <v>0</v>
      </c>
      <c r="J195" s="8">
        <f>'Forecast Adjustments'!F135</f>
        <v>25000</v>
      </c>
      <c r="K195" s="7">
        <f t="shared" si="8"/>
        <v>0</v>
      </c>
    </row>
    <row r="196" spans="1:12">
      <c r="A196" t="s">
        <v>448</v>
      </c>
      <c r="B196" t="s">
        <v>416</v>
      </c>
      <c r="C196" t="s">
        <v>449</v>
      </c>
      <c r="D196" s="8">
        <f>SUMIF('Original Budget'!$A:$A,A196,'Original Budget'!$E:$E)</f>
        <v>75000</v>
      </c>
      <c r="E196" s="8">
        <f>SUMIF('Package PO Plan'!$B:$B,A196,'Package PO Plan'!$F:$F)</f>
        <v>70000</v>
      </c>
      <c r="F196" s="8">
        <f>SUMIF('Commercial Events'!$B:$B,A196,'Commercial Events'!$K:$K)</f>
        <v>6500</v>
      </c>
      <c r="G196" s="8">
        <f t="shared" si="7"/>
        <v>76500</v>
      </c>
      <c r="H196" s="8">
        <f>SUMIF(Ledger!$B:$B,A196,Ledger!$H:$H)</f>
        <v>25000</v>
      </c>
      <c r="I196" s="6">
        <v>0</v>
      </c>
      <c r="J196" s="8">
        <f>'Forecast Adjustments'!F136</f>
        <v>80000</v>
      </c>
      <c r="K196" s="7">
        <f t="shared" si="8"/>
        <v>-5000</v>
      </c>
      <c r="L196" t="s">
        <v>526</v>
      </c>
    </row>
    <row r="197" spans="1:12">
      <c r="A197" t="s">
        <v>450</v>
      </c>
      <c r="B197" t="s">
        <v>416</v>
      </c>
      <c r="C197" t="s">
        <v>451</v>
      </c>
      <c r="D197" s="8">
        <f>SUMIF('Original Budget'!$A:$A,A197,'Original Budget'!$E:$E)</f>
        <v>0</v>
      </c>
      <c r="E197" s="8">
        <f>SUMIF('Package PO Plan'!$B:$B,A197,'Package PO Plan'!$F:$F)</f>
        <v>0</v>
      </c>
      <c r="F197" s="8">
        <f>SUMIF('Commercial Events'!$B:$B,A197,'Commercial Events'!$K:$K)</f>
        <v>0</v>
      </c>
      <c r="G197" s="8">
        <f t="shared" si="7"/>
        <v>0</v>
      </c>
      <c r="H197" s="8">
        <f>SUMIF(Ledger!$B:$B,A197,Ledger!$H:$H)</f>
        <v>0</v>
      </c>
      <c r="I197" s="6">
        <v>0</v>
      </c>
      <c r="J197" s="7">
        <v>0</v>
      </c>
      <c r="K197" s="7">
        <f t="shared" si="8"/>
        <v>0</v>
      </c>
    </row>
    <row r="198" spans="1:12">
      <c r="A198" t="s">
        <v>452</v>
      </c>
      <c r="B198" t="s">
        <v>416</v>
      </c>
      <c r="C198" t="s">
        <v>453</v>
      </c>
      <c r="D198" s="8">
        <f>SUMIF('Original Budget'!$A:$A,A198,'Original Budget'!$E:$E)</f>
        <v>0</v>
      </c>
      <c r="E198" s="8">
        <f>SUMIF('Package PO Plan'!$B:$B,A198,'Package PO Plan'!$F:$F)</f>
        <v>0</v>
      </c>
      <c r="F198" s="8">
        <f>SUMIF('Commercial Events'!$B:$B,A198,'Commercial Events'!$K:$K)</f>
        <v>0</v>
      </c>
      <c r="G198" s="8">
        <f t="shared" si="7"/>
        <v>0</v>
      </c>
      <c r="H198" s="8">
        <f>SUMIF(Ledger!$B:$B,A198,Ledger!$H:$H)</f>
        <v>0</v>
      </c>
      <c r="I198" s="6">
        <v>0</v>
      </c>
      <c r="J198" s="7">
        <v>0</v>
      </c>
      <c r="K198" s="7">
        <f t="shared" si="8"/>
        <v>0</v>
      </c>
    </row>
    <row r="199" spans="1:12">
      <c r="A199" t="s">
        <v>454</v>
      </c>
      <c r="B199" t="s">
        <v>416</v>
      </c>
      <c r="C199" t="s">
        <v>455</v>
      </c>
      <c r="D199" s="8">
        <f>SUMIF('Original Budget'!$A:$A,A199,'Original Budget'!$E:$E)</f>
        <v>0</v>
      </c>
      <c r="E199" s="8">
        <f>SUMIF('Package PO Plan'!$B:$B,A199,'Package PO Plan'!$F:$F)</f>
        <v>0</v>
      </c>
      <c r="F199" s="8">
        <f>SUMIF('Commercial Events'!$B:$B,A199,'Commercial Events'!$K:$K)</f>
        <v>0</v>
      </c>
      <c r="G199" s="8">
        <f t="shared" si="7"/>
        <v>0</v>
      </c>
      <c r="H199" s="8">
        <f>SUMIF(Ledger!$B:$B,A199,Ledger!$H:$H)</f>
        <v>0</v>
      </c>
      <c r="I199" s="6">
        <v>0</v>
      </c>
      <c r="J199" s="7">
        <v>0</v>
      </c>
      <c r="K199" s="7">
        <f t="shared" si="8"/>
        <v>0</v>
      </c>
    </row>
    <row r="200" spans="1:12">
      <c r="A200" t="s">
        <v>456</v>
      </c>
      <c r="B200" t="s">
        <v>416</v>
      </c>
      <c r="C200" t="s">
        <v>457</v>
      </c>
      <c r="D200" s="8">
        <f>SUMIF('Original Budget'!$A:$A,A200,'Original Budget'!$E:$E)</f>
        <v>0</v>
      </c>
      <c r="E200" s="8">
        <f>SUMIF('Package PO Plan'!$B:$B,A200,'Package PO Plan'!$F:$F)</f>
        <v>0</v>
      </c>
      <c r="F200" s="8">
        <f>SUMIF('Commercial Events'!$B:$B,A200,'Commercial Events'!$K:$K)</f>
        <v>0</v>
      </c>
      <c r="G200" s="8">
        <f t="shared" si="7"/>
        <v>0</v>
      </c>
      <c r="H200" s="8">
        <f>SUMIF(Ledger!$B:$B,A200,Ledger!$H:$H)</f>
        <v>0</v>
      </c>
      <c r="I200" s="6">
        <v>0</v>
      </c>
      <c r="J200" s="7">
        <v>0</v>
      </c>
      <c r="K200" s="7">
        <f t="shared" si="8"/>
        <v>0</v>
      </c>
    </row>
    <row r="201" spans="1:12">
      <c r="A201" t="s">
        <v>458</v>
      </c>
      <c r="B201" t="s">
        <v>416</v>
      </c>
      <c r="C201" t="s">
        <v>459</v>
      </c>
      <c r="D201" s="8">
        <f>SUMIF('Original Budget'!$A:$A,A201,'Original Budget'!$E:$E)</f>
        <v>0</v>
      </c>
      <c r="E201" s="8">
        <f>SUMIF('Package PO Plan'!$B:$B,A201,'Package PO Plan'!$F:$F)</f>
        <v>0</v>
      </c>
      <c r="F201" s="8">
        <f>SUMIF('Commercial Events'!$B:$B,A201,'Commercial Events'!$K:$K)</f>
        <v>0</v>
      </c>
      <c r="G201" s="8">
        <f t="shared" si="7"/>
        <v>0</v>
      </c>
      <c r="H201" s="8">
        <f>SUMIF(Ledger!$B:$B,A201,Ledger!$H:$H)</f>
        <v>0</v>
      </c>
      <c r="I201" s="6">
        <v>0</v>
      </c>
      <c r="J201" s="7">
        <v>0</v>
      </c>
      <c r="K201" s="7">
        <f t="shared" si="8"/>
        <v>0</v>
      </c>
    </row>
    <row r="202" spans="1:12">
      <c r="A202" t="s">
        <v>460</v>
      </c>
      <c r="B202" t="s">
        <v>416</v>
      </c>
      <c r="C202" t="s">
        <v>461</v>
      </c>
      <c r="D202" s="8">
        <f>SUMIF('Original Budget'!$A:$A,A202,'Original Budget'!$E:$E)</f>
        <v>0</v>
      </c>
      <c r="E202" s="8">
        <f>SUMIF('Package PO Plan'!$B:$B,A202,'Package PO Plan'!$F:$F)</f>
        <v>0</v>
      </c>
      <c r="F202" s="8">
        <f>SUMIF('Commercial Events'!$B:$B,A202,'Commercial Events'!$K:$K)</f>
        <v>0</v>
      </c>
      <c r="G202" s="8">
        <f t="shared" si="7"/>
        <v>0</v>
      </c>
      <c r="H202" s="8">
        <f>SUMIF(Ledger!$B:$B,A202,Ledger!$H:$H)</f>
        <v>0</v>
      </c>
      <c r="I202" s="6">
        <v>0</v>
      </c>
      <c r="J202" s="7">
        <v>0</v>
      </c>
      <c r="K202" s="7">
        <f t="shared" si="8"/>
        <v>0</v>
      </c>
    </row>
    <row r="203" spans="1:12">
      <c r="A203" t="s">
        <v>462</v>
      </c>
      <c r="B203" t="s">
        <v>463</v>
      </c>
      <c r="C203" t="s">
        <v>464</v>
      </c>
      <c r="D203" s="8">
        <f>SUMIF('Original Budget'!$A:$A,A203,'Original Budget'!$E:$E)</f>
        <v>160000</v>
      </c>
      <c r="E203" s="8">
        <f>SUMIF('Package PO Plan'!$B:$B,A203,'Package PO Plan'!$F:$F)</f>
        <v>0</v>
      </c>
      <c r="F203" s="8">
        <f>SUMIF('Commercial Events'!$B:$B,A203,'Commercial Events'!$K:$K)</f>
        <v>0</v>
      </c>
      <c r="G203" s="8">
        <f t="shared" si="7"/>
        <v>0</v>
      </c>
      <c r="H203" s="8">
        <f>SUMIF(Ledger!$B:$B,A203,Ledger!$H:$H)</f>
        <v>80000</v>
      </c>
      <c r="I203" s="6">
        <v>0</v>
      </c>
      <c r="J203" s="8">
        <f>'Forecast Adjustments'!F137</f>
        <v>160000</v>
      </c>
      <c r="K203" s="7">
        <f t="shared" si="8"/>
        <v>0</v>
      </c>
    </row>
    <row r="204" spans="1:12">
      <c r="A204" t="s">
        <v>465</v>
      </c>
      <c r="B204" t="s">
        <v>463</v>
      </c>
      <c r="C204" t="s">
        <v>466</v>
      </c>
      <c r="D204" s="8">
        <f>SUMIF('Original Budget'!$A:$A,A204,'Original Budget'!$E:$E)</f>
        <v>115000</v>
      </c>
      <c r="E204" s="8">
        <f>SUMIF('Package PO Plan'!$B:$B,A204,'Package PO Plan'!$F:$F)</f>
        <v>0</v>
      </c>
      <c r="F204" s="8">
        <f>SUMIF('Commercial Events'!$B:$B,A204,'Commercial Events'!$K:$K)</f>
        <v>0</v>
      </c>
      <c r="G204" s="8">
        <f t="shared" si="7"/>
        <v>0</v>
      </c>
      <c r="H204" s="8">
        <f>SUMIF(Ledger!$B:$B,A204,Ledger!$H:$H)</f>
        <v>57500</v>
      </c>
      <c r="I204" s="6">
        <v>0</v>
      </c>
      <c r="J204" s="8">
        <f>'Forecast Adjustments'!F138</f>
        <v>115000</v>
      </c>
      <c r="K204" s="7">
        <f t="shared" si="8"/>
        <v>0</v>
      </c>
    </row>
    <row r="205" spans="1:12">
      <c r="A205" t="s">
        <v>467</v>
      </c>
      <c r="B205" t="s">
        <v>468</v>
      </c>
      <c r="C205" t="s">
        <v>30</v>
      </c>
      <c r="D205" s="8">
        <f>SUMIF('Original Budget'!$A:$A,A205,'Original Budget'!$E:$E)</f>
        <v>0</v>
      </c>
      <c r="E205" s="8">
        <f>SUMIF('Package PO Plan'!$B:$B,A205,'Package PO Plan'!$F:$F)</f>
        <v>0</v>
      </c>
      <c r="F205" s="8">
        <f>SUMIF('Commercial Events'!$B:$B,A205,'Commercial Events'!$K:$K)</f>
        <v>0</v>
      </c>
      <c r="G205" s="8">
        <f t="shared" si="7"/>
        <v>0</v>
      </c>
      <c r="H205" s="8">
        <f>SUMIF(Ledger!$B:$B,A205,Ledger!$H:$H)</f>
        <v>0</v>
      </c>
      <c r="I205" s="6">
        <v>0</v>
      </c>
      <c r="J205" s="7">
        <v>0</v>
      </c>
      <c r="K205" s="7">
        <f t="shared" si="8"/>
        <v>0</v>
      </c>
    </row>
    <row r="206" spans="1:12">
      <c r="A206" t="s">
        <v>470</v>
      </c>
      <c r="B206" t="s">
        <v>468</v>
      </c>
      <c r="C206" t="s">
        <v>471</v>
      </c>
      <c r="D206" s="8">
        <f>SUMIF('Original Budget'!$A:$A,A206,'Original Budget'!$E:$E)</f>
        <v>25000</v>
      </c>
      <c r="E206" s="8">
        <f>SUMIF('Package PO Plan'!$B:$B,A206,'Package PO Plan'!$F:$F)</f>
        <v>0</v>
      </c>
      <c r="F206" s="8">
        <f>SUMIF('Commercial Events'!$B:$B,A206,'Commercial Events'!$K:$K)</f>
        <v>0</v>
      </c>
      <c r="G206" s="8">
        <f t="shared" ref="G206:G269" si="9">E206+F206</f>
        <v>0</v>
      </c>
      <c r="H206" s="8">
        <f>SUMIF(Ledger!$B:$B,A206,Ledger!$H:$H)</f>
        <v>0</v>
      </c>
      <c r="I206" s="6">
        <v>0</v>
      </c>
      <c r="J206" s="8">
        <f>'Forecast Adjustments'!F139</f>
        <v>25000</v>
      </c>
      <c r="K206" s="7">
        <f t="shared" ref="K206:K269" si="10">D206-J206</f>
        <v>0</v>
      </c>
    </row>
    <row r="207" spans="1:12">
      <c r="A207" t="s">
        <v>472</v>
      </c>
      <c r="B207" t="s">
        <v>468</v>
      </c>
      <c r="C207" t="s">
        <v>473</v>
      </c>
      <c r="D207" s="8">
        <f>SUMIF('Original Budget'!$A:$A,A207,'Original Budget'!$E:$E)</f>
        <v>95000</v>
      </c>
      <c r="E207" s="8">
        <f>SUMIF('Package PO Plan'!$B:$B,A207,'Package PO Plan'!$F:$F)</f>
        <v>0</v>
      </c>
      <c r="F207" s="8">
        <f>SUMIF('Commercial Events'!$B:$B,A207,'Commercial Events'!$K:$K)</f>
        <v>0</v>
      </c>
      <c r="G207" s="8">
        <f t="shared" si="9"/>
        <v>0</v>
      </c>
      <c r="H207" s="8">
        <f>SUMIF(Ledger!$B:$B,A207,Ledger!$H:$H)</f>
        <v>0</v>
      </c>
      <c r="I207" s="6">
        <v>0</v>
      </c>
      <c r="J207" s="8">
        <f>'Forecast Adjustments'!F140</f>
        <v>95000</v>
      </c>
      <c r="K207" s="7">
        <f t="shared" si="10"/>
        <v>0</v>
      </c>
    </row>
    <row r="208" spans="1:12">
      <c r="A208" t="s">
        <v>474</v>
      </c>
      <c r="B208" t="s">
        <v>468</v>
      </c>
      <c r="C208" t="s">
        <v>475</v>
      </c>
      <c r="D208" s="8">
        <f>SUMIF('Original Budget'!$A:$A,A208,'Original Budget'!$E:$E)</f>
        <v>0</v>
      </c>
      <c r="E208" s="8">
        <f>SUMIF('Package PO Plan'!$B:$B,A208,'Package PO Plan'!$F:$F)</f>
        <v>0</v>
      </c>
      <c r="F208" s="8">
        <f>SUMIF('Commercial Events'!$B:$B,A208,'Commercial Events'!$K:$K)</f>
        <v>0</v>
      </c>
      <c r="G208" s="8">
        <f t="shared" si="9"/>
        <v>0</v>
      </c>
      <c r="H208" s="8">
        <f>SUMIF(Ledger!$B:$B,A208,Ledger!$H:$H)</f>
        <v>0</v>
      </c>
      <c r="I208" s="6">
        <v>0</v>
      </c>
      <c r="J208" s="7">
        <v>0</v>
      </c>
      <c r="K208" s="7">
        <f t="shared" si="10"/>
        <v>0</v>
      </c>
    </row>
    <row r="209" spans="1:11">
      <c r="A209" t="s">
        <v>476</v>
      </c>
      <c r="B209" t="s">
        <v>468</v>
      </c>
      <c r="C209" t="s">
        <v>477</v>
      </c>
      <c r="D209" s="8">
        <f>SUMIF('Original Budget'!$A:$A,A209,'Original Budget'!$E:$E)</f>
        <v>42000</v>
      </c>
      <c r="E209" s="8">
        <f>SUMIF('Package PO Plan'!$B:$B,A209,'Package PO Plan'!$F:$F)</f>
        <v>0</v>
      </c>
      <c r="F209" s="8">
        <f>SUMIF('Commercial Events'!$B:$B,A209,'Commercial Events'!$K:$K)</f>
        <v>0</v>
      </c>
      <c r="G209" s="8">
        <f t="shared" si="9"/>
        <v>0</v>
      </c>
      <c r="H209" s="8">
        <f>SUMIF(Ledger!$B:$B,A209,Ledger!$H:$H)</f>
        <v>10000</v>
      </c>
      <c r="I209" s="6">
        <v>0</v>
      </c>
      <c r="J209" s="8">
        <f>'Forecast Adjustments'!F141</f>
        <v>42000</v>
      </c>
      <c r="K209" s="7">
        <f t="shared" si="10"/>
        <v>0</v>
      </c>
    </row>
    <row r="210" spans="1:11">
      <c r="A210" t="s">
        <v>478</v>
      </c>
      <c r="B210" t="s">
        <v>468</v>
      </c>
      <c r="C210" t="s">
        <v>479</v>
      </c>
      <c r="D210" s="8">
        <f>SUMIF('Original Budget'!$A:$A,A210,'Original Budget'!$E:$E)</f>
        <v>12000</v>
      </c>
      <c r="E210" s="8">
        <f>SUMIF('Package PO Plan'!$B:$B,A210,'Package PO Plan'!$F:$F)</f>
        <v>0</v>
      </c>
      <c r="F210" s="8">
        <f>SUMIF('Commercial Events'!$B:$B,A210,'Commercial Events'!$K:$K)</f>
        <v>0</v>
      </c>
      <c r="G210" s="8">
        <f t="shared" si="9"/>
        <v>0</v>
      </c>
      <c r="H210" s="8">
        <f>SUMIF(Ledger!$B:$B,A210,Ledger!$H:$H)</f>
        <v>0</v>
      </c>
      <c r="I210" s="6">
        <v>0</v>
      </c>
      <c r="J210" s="8">
        <f>'Forecast Adjustments'!F142</f>
        <v>12000</v>
      </c>
      <c r="K210" s="7">
        <f t="shared" si="10"/>
        <v>0</v>
      </c>
    </row>
    <row r="211" spans="1:11">
      <c r="A211" t="s">
        <v>480</v>
      </c>
      <c r="B211" t="s">
        <v>468</v>
      </c>
      <c r="C211" t="s">
        <v>482</v>
      </c>
      <c r="D211" s="8">
        <f>SUMIF('Original Budget'!$A:$A,A211,'Original Budget'!$E:$E)</f>
        <v>35000</v>
      </c>
      <c r="E211" s="8">
        <f>SUMIF('Package PO Plan'!$B:$B,A211,'Package PO Plan'!$F:$F)</f>
        <v>0</v>
      </c>
      <c r="F211" s="8">
        <f>SUMIF('Commercial Events'!$B:$B,A211,'Commercial Events'!$K:$K)</f>
        <v>0</v>
      </c>
      <c r="G211" s="8">
        <f t="shared" si="9"/>
        <v>0</v>
      </c>
      <c r="H211" s="8">
        <f>SUMIF(Ledger!$B:$B,A211,Ledger!$H:$H)</f>
        <v>18000</v>
      </c>
      <c r="I211" s="6">
        <v>0</v>
      </c>
      <c r="J211" s="8">
        <f>'Forecast Adjustments'!F143</f>
        <v>35000</v>
      </c>
      <c r="K211" s="7">
        <f t="shared" si="10"/>
        <v>0</v>
      </c>
    </row>
    <row r="212" spans="1:11">
      <c r="A212" t="s">
        <v>483</v>
      </c>
      <c r="B212" t="s">
        <v>468</v>
      </c>
      <c r="C212" t="s">
        <v>484</v>
      </c>
      <c r="D212" s="8">
        <f>SUMIF('Original Budget'!$A:$A,A212,'Original Budget'!$E:$E)</f>
        <v>18000</v>
      </c>
      <c r="E212" s="8">
        <f>SUMIF('Package PO Plan'!$B:$B,A212,'Package PO Plan'!$F:$F)</f>
        <v>0</v>
      </c>
      <c r="F212" s="8">
        <f>SUMIF('Commercial Events'!$B:$B,A212,'Commercial Events'!$K:$K)</f>
        <v>0</v>
      </c>
      <c r="G212" s="8">
        <f t="shared" si="9"/>
        <v>0</v>
      </c>
      <c r="H212" s="8">
        <f>SUMIF(Ledger!$B:$B,A212,Ledger!$H:$H)</f>
        <v>0</v>
      </c>
      <c r="I212" s="6">
        <v>0</v>
      </c>
      <c r="J212" s="8">
        <f>'Forecast Adjustments'!F144</f>
        <v>18000</v>
      </c>
      <c r="K212" s="7">
        <f t="shared" si="10"/>
        <v>0</v>
      </c>
    </row>
    <row r="213" spans="1:11">
      <c r="A213" t="s">
        <v>485</v>
      </c>
      <c r="B213" t="s">
        <v>468</v>
      </c>
      <c r="C213" t="s">
        <v>486</v>
      </c>
      <c r="D213" s="8">
        <f>SUMIF('Original Budget'!$A:$A,A213,'Original Budget'!$E:$E)</f>
        <v>0</v>
      </c>
      <c r="E213" s="8">
        <f>SUMIF('Package PO Plan'!$B:$B,A213,'Package PO Plan'!$F:$F)</f>
        <v>0</v>
      </c>
      <c r="F213" s="8">
        <f>SUMIF('Commercial Events'!$B:$B,A213,'Commercial Events'!$K:$K)</f>
        <v>0</v>
      </c>
      <c r="G213" s="8">
        <f t="shared" si="9"/>
        <v>0</v>
      </c>
      <c r="H213" s="8">
        <f>SUMIF(Ledger!$B:$B,A213,Ledger!$H:$H)</f>
        <v>0</v>
      </c>
      <c r="I213" s="6">
        <v>0</v>
      </c>
      <c r="J213" s="7">
        <v>0</v>
      </c>
      <c r="K213" s="7">
        <f t="shared" si="10"/>
        <v>0</v>
      </c>
    </row>
    <row r="214" spans="1:11">
      <c r="A214" t="s">
        <v>487</v>
      </c>
      <c r="B214" t="s">
        <v>468</v>
      </c>
      <c r="C214" t="s">
        <v>488</v>
      </c>
      <c r="D214" s="8">
        <f>SUMIF('Original Budget'!$A:$A,A214,'Original Budget'!$E:$E)</f>
        <v>0</v>
      </c>
      <c r="E214" s="8">
        <f>SUMIF('Package PO Plan'!$B:$B,A214,'Package PO Plan'!$F:$F)</f>
        <v>0</v>
      </c>
      <c r="F214" s="8">
        <f>SUMIF('Commercial Events'!$B:$B,A214,'Commercial Events'!$K:$K)</f>
        <v>0</v>
      </c>
      <c r="G214" s="8">
        <f t="shared" si="9"/>
        <v>0</v>
      </c>
      <c r="H214" s="8">
        <f>SUMIF(Ledger!$B:$B,A214,Ledger!$H:$H)</f>
        <v>0</v>
      </c>
      <c r="I214" s="6">
        <v>0</v>
      </c>
      <c r="J214" s="7">
        <v>0</v>
      </c>
      <c r="K214" s="7">
        <f t="shared" si="10"/>
        <v>0</v>
      </c>
    </row>
    <row r="215" spans="1:11">
      <c r="A215" t="s">
        <v>489</v>
      </c>
      <c r="B215" t="s">
        <v>468</v>
      </c>
      <c r="C215" t="s">
        <v>490</v>
      </c>
      <c r="D215" s="8">
        <f>SUMIF('Original Budget'!$A:$A,A215,'Original Budget'!$E:$E)</f>
        <v>8000</v>
      </c>
      <c r="E215" s="8">
        <f>SUMIF('Package PO Plan'!$B:$B,A215,'Package PO Plan'!$F:$F)</f>
        <v>0</v>
      </c>
      <c r="F215" s="8">
        <f>SUMIF('Commercial Events'!$B:$B,A215,'Commercial Events'!$K:$K)</f>
        <v>0</v>
      </c>
      <c r="G215" s="8">
        <f t="shared" si="9"/>
        <v>0</v>
      </c>
      <c r="H215" s="8">
        <f>SUMIF(Ledger!$B:$B,A215,Ledger!$H:$H)</f>
        <v>0</v>
      </c>
      <c r="I215" s="6">
        <v>0</v>
      </c>
      <c r="J215" s="8">
        <f>'Forecast Adjustments'!F145</f>
        <v>8000</v>
      </c>
      <c r="K215" s="7">
        <f t="shared" si="10"/>
        <v>0</v>
      </c>
    </row>
    <row r="216" spans="1:11">
      <c r="A216" t="s">
        <v>491</v>
      </c>
      <c r="B216" t="s">
        <v>468</v>
      </c>
      <c r="C216" t="s">
        <v>492</v>
      </c>
      <c r="D216" s="8">
        <f>SUMIF('Original Budget'!$A:$A,A216,'Original Budget'!$E:$E)</f>
        <v>10000</v>
      </c>
      <c r="E216" s="8">
        <f>SUMIF('Package PO Plan'!$B:$B,A216,'Package PO Plan'!$F:$F)</f>
        <v>0</v>
      </c>
      <c r="F216" s="8">
        <f>SUMIF('Commercial Events'!$B:$B,A216,'Commercial Events'!$K:$K)</f>
        <v>0</v>
      </c>
      <c r="G216" s="8">
        <f t="shared" si="9"/>
        <v>0</v>
      </c>
      <c r="H216" s="8">
        <f>SUMIF(Ledger!$B:$B,A216,Ledger!$H:$H)</f>
        <v>0</v>
      </c>
      <c r="I216" s="6">
        <v>0</v>
      </c>
      <c r="J216" s="8">
        <f>'Forecast Adjustments'!F146</f>
        <v>10000</v>
      </c>
      <c r="K216" s="7">
        <f t="shared" si="10"/>
        <v>0</v>
      </c>
    </row>
    <row r="217" spans="1:11">
      <c r="A217" t="s">
        <v>493</v>
      </c>
      <c r="B217" t="s">
        <v>468</v>
      </c>
      <c r="C217" t="s">
        <v>494</v>
      </c>
      <c r="D217" s="8">
        <f>SUMIF('Original Budget'!$A:$A,A217,'Original Budget'!$E:$E)</f>
        <v>12000</v>
      </c>
      <c r="E217" s="8">
        <f>SUMIF('Package PO Plan'!$B:$B,A217,'Package PO Plan'!$F:$F)</f>
        <v>0</v>
      </c>
      <c r="F217" s="8">
        <f>SUMIF('Commercial Events'!$B:$B,A217,'Commercial Events'!$K:$K)</f>
        <v>0</v>
      </c>
      <c r="G217" s="8">
        <f t="shared" si="9"/>
        <v>0</v>
      </c>
      <c r="H217" s="8">
        <f>SUMIF(Ledger!$B:$B,A217,Ledger!$H:$H)</f>
        <v>0</v>
      </c>
      <c r="I217" s="6">
        <v>0</v>
      </c>
      <c r="J217" s="8">
        <f>'Forecast Adjustments'!F147</f>
        <v>12000</v>
      </c>
      <c r="K217" s="7">
        <f t="shared" si="10"/>
        <v>0</v>
      </c>
    </row>
    <row r="218" spans="1:11">
      <c r="A218" t="s">
        <v>495</v>
      </c>
      <c r="B218" t="s">
        <v>468</v>
      </c>
      <c r="C218" t="s">
        <v>496</v>
      </c>
      <c r="D218" s="8">
        <f>SUMIF('Original Budget'!$A:$A,A218,'Original Budget'!$E:$E)</f>
        <v>10000</v>
      </c>
      <c r="E218" s="8">
        <f>SUMIF('Package PO Plan'!$B:$B,A218,'Package PO Plan'!$F:$F)</f>
        <v>0</v>
      </c>
      <c r="F218" s="8">
        <f>SUMIF('Commercial Events'!$B:$B,A218,'Commercial Events'!$K:$K)</f>
        <v>0</v>
      </c>
      <c r="G218" s="8">
        <f t="shared" si="9"/>
        <v>0</v>
      </c>
      <c r="H218" s="8">
        <f>SUMIF(Ledger!$B:$B,A218,Ledger!$H:$H)</f>
        <v>0</v>
      </c>
      <c r="I218" s="6">
        <v>0</v>
      </c>
      <c r="J218" s="8">
        <f>'Forecast Adjustments'!F148</f>
        <v>10000</v>
      </c>
      <c r="K218" s="7">
        <f t="shared" si="10"/>
        <v>0</v>
      </c>
    </row>
    <row r="219" spans="1:11">
      <c r="A219" t="s">
        <v>497</v>
      </c>
      <c r="B219" t="s">
        <v>468</v>
      </c>
      <c r="C219" t="s">
        <v>498</v>
      </c>
      <c r="D219" s="8">
        <f>SUMIF('Original Budget'!$A:$A,A219,'Original Budget'!$E:$E)</f>
        <v>0</v>
      </c>
      <c r="E219" s="8">
        <f>SUMIF('Package PO Plan'!$B:$B,A219,'Package PO Plan'!$F:$F)</f>
        <v>0</v>
      </c>
      <c r="F219" s="8">
        <f>SUMIF('Commercial Events'!$B:$B,A219,'Commercial Events'!$K:$K)</f>
        <v>0</v>
      </c>
      <c r="G219" s="8">
        <f t="shared" si="9"/>
        <v>0</v>
      </c>
      <c r="H219" s="8">
        <f>SUMIF(Ledger!$B:$B,A219,Ledger!$H:$H)</f>
        <v>0</v>
      </c>
      <c r="I219" s="6">
        <v>0</v>
      </c>
      <c r="J219" s="7">
        <v>0</v>
      </c>
      <c r="K219" s="7">
        <f t="shared" si="10"/>
        <v>0</v>
      </c>
    </row>
    <row r="220" spans="1:11">
      <c r="A220" t="s">
        <v>499</v>
      </c>
      <c r="B220" t="s">
        <v>468</v>
      </c>
      <c r="C220" t="s">
        <v>500</v>
      </c>
      <c r="D220" s="8">
        <f>SUMIF('Original Budget'!$A:$A,A220,'Original Budget'!$E:$E)</f>
        <v>0</v>
      </c>
      <c r="E220" s="8">
        <f>SUMIF('Package PO Plan'!$B:$B,A220,'Package PO Plan'!$F:$F)</f>
        <v>0</v>
      </c>
      <c r="F220" s="8">
        <f>SUMIF('Commercial Events'!$B:$B,A220,'Commercial Events'!$K:$K)</f>
        <v>0</v>
      </c>
      <c r="G220" s="8">
        <f t="shared" si="9"/>
        <v>0</v>
      </c>
      <c r="H220" s="8">
        <f>SUMIF(Ledger!$B:$B,A220,Ledger!$H:$H)</f>
        <v>0</v>
      </c>
      <c r="I220" s="6">
        <v>0</v>
      </c>
      <c r="J220" s="7">
        <v>0</v>
      </c>
      <c r="K220" s="7">
        <f t="shared" si="10"/>
        <v>0</v>
      </c>
    </row>
    <row r="221" spans="1:11">
      <c r="A221" t="s">
        <v>501</v>
      </c>
      <c r="B221" t="s">
        <v>468</v>
      </c>
      <c r="C221" t="s">
        <v>502</v>
      </c>
      <c r="D221" s="8">
        <f>SUMIF('Original Budget'!$A:$A,A221,'Original Budget'!$E:$E)</f>
        <v>4000</v>
      </c>
      <c r="E221" s="8">
        <f>SUMIF('Package PO Plan'!$B:$B,A221,'Package PO Plan'!$F:$F)</f>
        <v>0</v>
      </c>
      <c r="F221" s="8">
        <f>SUMIF('Commercial Events'!$B:$B,A221,'Commercial Events'!$K:$K)</f>
        <v>0</v>
      </c>
      <c r="G221" s="8">
        <f t="shared" si="9"/>
        <v>0</v>
      </c>
      <c r="H221" s="8">
        <f>SUMIF(Ledger!$B:$B,A221,Ledger!$H:$H)</f>
        <v>0</v>
      </c>
      <c r="I221" s="6">
        <v>0</v>
      </c>
      <c r="J221" s="8">
        <f>'Forecast Adjustments'!F149</f>
        <v>4000</v>
      </c>
      <c r="K221" s="7">
        <f t="shared" si="10"/>
        <v>0</v>
      </c>
    </row>
    <row r="222" spans="1:11">
      <c r="A222" t="s">
        <v>503</v>
      </c>
      <c r="B222" t="s">
        <v>468</v>
      </c>
      <c r="C222" t="s">
        <v>504</v>
      </c>
      <c r="D222" s="8">
        <f>SUMIF('Original Budget'!$A:$A,A222,'Original Budget'!$E:$E)</f>
        <v>5000</v>
      </c>
      <c r="E222" s="8">
        <f>SUMIF('Package PO Plan'!$B:$B,A222,'Package PO Plan'!$F:$F)</f>
        <v>0</v>
      </c>
      <c r="F222" s="8">
        <f>SUMIF('Commercial Events'!$B:$B,A222,'Commercial Events'!$K:$K)</f>
        <v>0</v>
      </c>
      <c r="G222" s="8">
        <f t="shared" si="9"/>
        <v>0</v>
      </c>
      <c r="H222" s="8">
        <f>SUMIF(Ledger!$B:$B,A222,Ledger!$H:$H)</f>
        <v>0</v>
      </c>
      <c r="I222" s="6">
        <v>0</v>
      </c>
      <c r="J222" s="8">
        <f>'Forecast Adjustments'!F150</f>
        <v>5000</v>
      </c>
      <c r="K222" s="7">
        <f t="shared" si="10"/>
        <v>0</v>
      </c>
    </row>
    <row r="223" spans="1:11">
      <c r="A223" t="s">
        <v>505</v>
      </c>
      <c r="B223" t="s">
        <v>468</v>
      </c>
      <c r="C223" t="s">
        <v>506</v>
      </c>
      <c r="D223" s="8">
        <f>SUMIF('Original Budget'!$A:$A,A223,'Original Budget'!$E:$E)</f>
        <v>0</v>
      </c>
      <c r="E223" s="8">
        <f>SUMIF('Package PO Plan'!$B:$B,A223,'Package PO Plan'!$F:$F)</f>
        <v>0</v>
      </c>
      <c r="F223" s="8">
        <f>SUMIF('Commercial Events'!$B:$B,A223,'Commercial Events'!$K:$K)</f>
        <v>0</v>
      </c>
      <c r="G223" s="8">
        <f t="shared" si="9"/>
        <v>0</v>
      </c>
      <c r="H223" s="8">
        <f>SUMIF(Ledger!$B:$B,A223,Ledger!$H:$H)</f>
        <v>0</v>
      </c>
      <c r="I223" s="6">
        <v>0</v>
      </c>
      <c r="J223" s="7">
        <v>0</v>
      </c>
      <c r="K223" s="7">
        <f t="shared" si="10"/>
        <v>0</v>
      </c>
    </row>
  </sheetData>
  <mergeCells count="1">
    <mergeCell ref="A1:L1"/>
  </mergeCells>
  <conditionalFormatting sqref="K14:K223">
    <cfRule type="expression" dxfId="4" priority="1">
      <formula>K14&lt;0</formula>
    </cfRule>
    <cfRule type="expression" dxfId="3" priority="2">
      <formula>K14&gt;0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workbookViewId="0"/>
  </sheetViews>
  <sheetFormatPr defaultRowHeight="14.25"/>
  <cols>
    <col min="1" max="1" width="11" customWidth="1"/>
    <col min="2" max="2" width="20" customWidth="1"/>
    <col min="3" max="3" width="42" customWidth="1"/>
    <col min="4" max="4" width="58" customWidth="1"/>
    <col min="5" max="5" width="30" customWidth="1"/>
    <col min="6" max="6" width="16" customWidth="1"/>
    <col min="7" max="7" width="13" customWidth="1"/>
    <col min="8" max="8" width="35" customWidth="1"/>
    <col min="9" max="9" width="24" customWidth="1"/>
  </cols>
  <sheetData>
    <row r="1" spans="1:9" ht="27.95" customHeight="1">
      <c r="A1" s="16" t="s">
        <v>991</v>
      </c>
      <c r="B1" s="16"/>
      <c r="C1" s="16"/>
      <c r="D1" s="16"/>
      <c r="E1" s="16"/>
      <c r="F1" s="16"/>
      <c r="G1" s="16"/>
      <c r="H1" s="16"/>
      <c r="I1" s="16"/>
    </row>
    <row r="3" spans="1:9" ht="30">
      <c r="A3" s="3" t="s">
        <v>992</v>
      </c>
      <c r="B3" s="3" t="s">
        <v>993</v>
      </c>
      <c r="C3" s="3" t="s">
        <v>994</v>
      </c>
      <c r="D3" s="3" t="s">
        <v>995</v>
      </c>
      <c r="E3" s="3" t="s">
        <v>996</v>
      </c>
      <c r="F3" s="3" t="s">
        <v>997</v>
      </c>
      <c r="G3" s="3" t="s">
        <v>534</v>
      </c>
      <c r="H3" s="3" t="s">
        <v>696</v>
      </c>
      <c r="I3" s="3" t="s">
        <v>998</v>
      </c>
    </row>
    <row r="4" spans="1:9">
      <c r="A4" s="2" t="s">
        <v>999</v>
      </c>
      <c r="B4" s="2" t="s">
        <v>1000</v>
      </c>
      <c r="C4" s="2" t="s">
        <v>1001</v>
      </c>
      <c r="D4" s="2" t="s">
        <v>1002</v>
      </c>
      <c r="E4" s="2" t="s">
        <v>1003</v>
      </c>
      <c r="F4" s="2" t="s">
        <v>1004</v>
      </c>
      <c r="G4" s="2" t="s">
        <v>1005</v>
      </c>
      <c r="H4" s="2"/>
      <c r="I4" s="2" t="s">
        <v>1006</v>
      </c>
    </row>
    <row r="5" spans="1:9">
      <c r="A5" s="2" t="s">
        <v>1007</v>
      </c>
      <c r="B5" s="2" t="s">
        <v>1008</v>
      </c>
      <c r="C5" s="2" t="s">
        <v>1009</v>
      </c>
      <c r="D5" s="2" t="s">
        <v>1010</v>
      </c>
      <c r="E5" s="2" t="s">
        <v>1011</v>
      </c>
      <c r="F5" s="2" t="s">
        <v>1004</v>
      </c>
      <c r="G5" s="2" t="s">
        <v>1005</v>
      </c>
      <c r="H5" s="2"/>
      <c r="I5" s="2" t="s">
        <v>1012</v>
      </c>
    </row>
    <row r="6" spans="1:9" ht="28.5">
      <c r="A6" s="2" t="s">
        <v>1013</v>
      </c>
      <c r="B6" s="2" t="s">
        <v>300</v>
      </c>
      <c r="C6" s="2" t="s">
        <v>1014</v>
      </c>
      <c r="D6" s="2" t="s">
        <v>1015</v>
      </c>
      <c r="E6" s="2" t="s">
        <v>1016</v>
      </c>
      <c r="F6" s="2" t="s">
        <v>1004</v>
      </c>
      <c r="G6" s="2" t="s">
        <v>1005</v>
      </c>
      <c r="H6" s="2"/>
      <c r="I6" s="2" t="s">
        <v>1006</v>
      </c>
    </row>
    <row r="7" spans="1:9">
      <c r="A7" s="2" t="s">
        <v>1017</v>
      </c>
      <c r="B7" s="2" t="s">
        <v>302</v>
      </c>
      <c r="C7" s="2" t="s">
        <v>1018</v>
      </c>
      <c r="D7" s="2" t="s">
        <v>1019</v>
      </c>
      <c r="E7" s="2" t="s">
        <v>1020</v>
      </c>
      <c r="F7" s="2" t="s">
        <v>1021</v>
      </c>
      <c r="G7" s="2" t="s">
        <v>1005</v>
      </c>
      <c r="H7" s="2"/>
      <c r="I7" s="2" t="s">
        <v>1006</v>
      </c>
    </row>
    <row r="8" spans="1:9">
      <c r="A8" s="2" t="s">
        <v>1022</v>
      </c>
      <c r="B8" s="2" t="s">
        <v>326</v>
      </c>
      <c r="C8" s="2" t="s">
        <v>1023</v>
      </c>
      <c r="D8" s="2" t="s">
        <v>1024</v>
      </c>
      <c r="E8" s="2" t="s">
        <v>1025</v>
      </c>
      <c r="F8" s="2" t="s">
        <v>1004</v>
      </c>
      <c r="G8" s="2" t="s">
        <v>1005</v>
      </c>
      <c r="H8" s="2"/>
      <c r="I8" s="2" t="s">
        <v>1026</v>
      </c>
    </row>
    <row r="9" spans="1:9" ht="28.5">
      <c r="A9" s="2" t="s">
        <v>1027</v>
      </c>
      <c r="B9" s="2" t="s">
        <v>1028</v>
      </c>
      <c r="C9" s="2" t="s">
        <v>1029</v>
      </c>
      <c r="D9" s="2" t="s">
        <v>1030</v>
      </c>
      <c r="E9" s="2" t="s">
        <v>1031</v>
      </c>
      <c r="F9" s="2" t="s">
        <v>1004</v>
      </c>
      <c r="G9" s="2" t="s">
        <v>1005</v>
      </c>
      <c r="H9" s="2"/>
      <c r="I9" s="2" t="s">
        <v>1032</v>
      </c>
    </row>
    <row r="10" spans="1:9">
      <c r="A10" s="2" t="s">
        <v>1033</v>
      </c>
      <c r="B10" s="2" t="s">
        <v>1034</v>
      </c>
      <c r="C10" s="2" t="s">
        <v>1035</v>
      </c>
      <c r="D10" s="2" t="s">
        <v>1036</v>
      </c>
      <c r="E10" s="2" t="s">
        <v>1037</v>
      </c>
      <c r="F10" s="2" t="s">
        <v>1021</v>
      </c>
      <c r="G10" s="2" t="s">
        <v>1005</v>
      </c>
      <c r="H10" s="2"/>
      <c r="I10" s="2" t="s">
        <v>1006</v>
      </c>
    </row>
    <row r="11" spans="1:9">
      <c r="A11" s="2" t="s">
        <v>1038</v>
      </c>
      <c r="B11" s="2" t="s">
        <v>1039</v>
      </c>
      <c r="C11" s="2" t="s">
        <v>1040</v>
      </c>
      <c r="D11" s="2" t="s">
        <v>1041</v>
      </c>
      <c r="E11" s="2" t="s">
        <v>1042</v>
      </c>
      <c r="F11" s="2" t="s">
        <v>1043</v>
      </c>
      <c r="G11" s="2" t="s">
        <v>1005</v>
      </c>
      <c r="H11" s="2"/>
      <c r="I11" s="2" t="s">
        <v>1006</v>
      </c>
    </row>
    <row r="12" spans="1:9">
      <c r="A12" s="2" t="s">
        <v>1044</v>
      </c>
      <c r="B12" s="2" t="s">
        <v>1045</v>
      </c>
      <c r="C12" s="2" t="s">
        <v>1046</v>
      </c>
      <c r="D12" s="2" t="s">
        <v>1047</v>
      </c>
      <c r="E12" s="2" t="s">
        <v>1048</v>
      </c>
      <c r="F12" s="2" t="s">
        <v>1021</v>
      </c>
      <c r="G12" s="2" t="s">
        <v>1005</v>
      </c>
      <c r="H12" s="2"/>
      <c r="I12" s="2" t="s">
        <v>1012</v>
      </c>
    </row>
    <row r="13" spans="1:9">
      <c r="A13" s="2" t="s">
        <v>1049</v>
      </c>
      <c r="B13" s="2" t="s">
        <v>681</v>
      </c>
      <c r="C13" s="2" t="s">
        <v>1050</v>
      </c>
      <c r="D13" s="2" t="s">
        <v>1051</v>
      </c>
      <c r="E13" s="2" t="s">
        <v>1052</v>
      </c>
      <c r="F13" s="2" t="s">
        <v>1004</v>
      </c>
      <c r="G13" s="2" t="s">
        <v>1005</v>
      </c>
      <c r="H13" s="2"/>
      <c r="I13" s="2" t="s">
        <v>1032</v>
      </c>
    </row>
    <row r="14" spans="1:9">
      <c r="A14" s="2" t="s">
        <v>1053</v>
      </c>
      <c r="B14" s="2" t="s">
        <v>1054</v>
      </c>
      <c r="C14" s="2" t="s">
        <v>1055</v>
      </c>
      <c r="D14" s="2" t="s">
        <v>1056</v>
      </c>
      <c r="E14" s="2" t="s">
        <v>1057</v>
      </c>
      <c r="F14" s="2" t="s">
        <v>1004</v>
      </c>
      <c r="G14" s="2" t="s">
        <v>1005</v>
      </c>
      <c r="H14" s="2"/>
      <c r="I14" s="2" t="s">
        <v>1058</v>
      </c>
    </row>
    <row r="15" spans="1:9">
      <c r="A15" s="2" t="s">
        <v>1059</v>
      </c>
      <c r="B15" s="2" t="s">
        <v>1060</v>
      </c>
      <c r="C15" s="2" t="s">
        <v>1061</v>
      </c>
      <c r="D15" s="2" t="s">
        <v>1062</v>
      </c>
      <c r="E15" s="2" t="s">
        <v>333</v>
      </c>
      <c r="F15" s="2" t="s">
        <v>1004</v>
      </c>
      <c r="G15" s="2" t="s">
        <v>1005</v>
      </c>
      <c r="H15" s="2"/>
      <c r="I15" s="2" t="s">
        <v>1063</v>
      </c>
    </row>
    <row r="16" spans="1:9">
      <c r="A16" s="2" t="s">
        <v>1064</v>
      </c>
      <c r="B16" s="2" t="s">
        <v>1065</v>
      </c>
      <c r="C16" s="2" t="s">
        <v>1066</v>
      </c>
      <c r="D16" s="2" t="s">
        <v>1067</v>
      </c>
      <c r="E16" s="2" t="s">
        <v>1068</v>
      </c>
      <c r="F16" s="2" t="s">
        <v>1021</v>
      </c>
      <c r="G16" s="2" t="s">
        <v>1005</v>
      </c>
      <c r="H16" s="2"/>
      <c r="I16" s="2" t="s">
        <v>1006</v>
      </c>
    </row>
    <row r="17" spans="1:9">
      <c r="A17" s="2" t="s">
        <v>1069</v>
      </c>
      <c r="B17" s="2" t="s">
        <v>1070</v>
      </c>
      <c r="C17" s="2" t="s">
        <v>1071</v>
      </c>
      <c r="D17" s="2" t="s">
        <v>1072</v>
      </c>
      <c r="E17" s="2" t="s">
        <v>212</v>
      </c>
      <c r="F17" s="2" t="s">
        <v>1043</v>
      </c>
      <c r="G17" s="2" t="s">
        <v>1005</v>
      </c>
      <c r="H17" s="2"/>
      <c r="I17" s="2" t="s">
        <v>1073</v>
      </c>
    </row>
    <row r="18" spans="1:9" ht="28.5">
      <c r="A18" s="2" t="s">
        <v>1074</v>
      </c>
      <c r="B18" s="2" t="s">
        <v>1075</v>
      </c>
      <c r="C18" s="2" t="s">
        <v>1076</v>
      </c>
      <c r="D18" s="2" t="s">
        <v>1077</v>
      </c>
      <c r="E18" s="2" t="s">
        <v>1003</v>
      </c>
      <c r="F18" s="2" t="s">
        <v>1004</v>
      </c>
      <c r="G18" s="2" t="s">
        <v>1005</v>
      </c>
      <c r="H18" s="2"/>
      <c r="I18" s="2" t="s">
        <v>1078</v>
      </c>
    </row>
    <row r="19" spans="1:9">
      <c r="A19" t="s">
        <v>1079</v>
      </c>
      <c r="B19" t="s">
        <v>1080</v>
      </c>
      <c r="C19" t="s">
        <v>1081</v>
      </c>
      <c r="D19" t="s">
        <v>1082</v>
      </c>
      <c r="E19" t="s">
        <v>1083</v>
      </c>
      <c r="F19" t="s">
        <v>1004</v>
      </c>
      <c r="G19" t="s">
        <v>1005</v>
      </c>
      <c r="I19" t="s">
        <v>1084</v>
      </c>
    </row>
    <row r="20" spans="1:9">
      <c r="A20" t="s">
        <v>1085</v>
      </c>
      <c r="B20" t="s">
        <v>1080</v>
      </c>
      <c r="C20" t="s">
        <v>1086</v>
      </c>
      <c r="D20" t="s">
        <v>1087</v>
      </c>
      <c r="E20" t="s">
        <v>1088</v>
      </c>
      <c r="F20" t="s">
        <v>1021</v>
      </c>
      <c r="G20" t="s">
        <v>1005</v>
      </c>
      <c r="I20" t="s">
        <v>1089</v>
      </c>
    </row>
    <row r="21" spans="1:9">
      <c r="A21" t="s">
        <v>1090</v>
      </c>
      <c r="B21" t="s">
        <v>1080</v>
      </c>
      <c r="C21" t="s">
        <v>1091</v>
      </c>
      <c r="D21" t="s">
        <v>1092</v>
      </c>
      <c r="E21" t="s">
        <v>1093</v>
      </c>
      <c r="F21" t="s">
        <v>1021</v>
      </c>
      <c r="G21" t="s">
        <v>1005</v>
      </c>
      <c r="I21" t="s">
        <v>1089</v>
      </c>
    </row>
    <row r="22" spans="1:9">
      <c r="A22" t="s">
        <v>1094</v>
      </c>
      <c r="B22" t="s">
        <v>1080</v>
      </c>
      <c r="C22" t="s">
        <v>1095</v>
      </c>
      <c r="D22" t="s">
        <v>1096</v>
      </c>
      <c r="E22" t="s">
        <v>1097</v>
      </c>
      <c r="F22" t="s">
        <v>1043</v>
      </c>
      <c r="G22" t="s">
        <v>1005</v>
      </c>
      <c r="I22" t="s">
        <v>1098</v>
      </c>
    </row>
    <row r="23" spans="1:9">
      <c r="A23" t="s">
        <v>1099</v>
      </c>
      <c r="B23" t="s">
        <v>469</v>
      </c>
      <c r="C23" t="s">
        <v>1100</v>
      </c>
      <c r="D23" t="s">
        <v>1101</v>
      </c>
      <c r="E23" t="s">
        <v>1102</v>
      </c>
      <c r="F23" t="s">
        <v>1004</v>
      </c>
      <c r="G23" t="s">
        <v>1005</v>
      </c>
      <c r="I23" t="s">
        <v>1103</v>
      </c>
    </row>
    <row r="24" spans="1:9">
      <c r="A24" t="s">
        <v>1104</v>
      </c>
      <c r="B24" t="s">
        <v>469</v>
      </c>
      <c r="C24" t="s">
        <v>1105</v>
      </c>
      <c r="D24" t="s">
        <v>1106</v>
      </c>
      <c r="E24" t="s">
        <v>1107</v>
      </c>
      <c r="F24" t="s">
        <v>1021</v>
      </c>
      <c r="G24" t="s">
        <v>1005</v>
      </c>
      <c r="I24" t="s">
        <v>1084</v>
      </c>
    </row>
    <row r="25" spans="1:9">
      <c r="A25" t="s">
        <v>1108</v>
      </c>
      <c r="B25" t="s">
        <v>469</v>
      </c>
      <c r="C25" t="s">
        <v>1109</v>
      </c>
      <c r="D25" t="s">
        <v>1110</v>
      </c>
      <c r="E25" t="s">
        <v>1107</v>
      </c>
      <c r="F25" t="s">
        <v>1021</v>
      </c>
      <c r="G25" t="s">
        <v>1005</v>
      </c>
      <c r="I25" t="s">
        <v>1084</v>
      </c>
    </row>
    <row r="26" spans="1:9">
      <c r="A26" t="s">
        <v>1111</v>
      </c>
      <c r="B26" t="s">
        <v>469</v>
      </c>
      <c r="C26" t="s">
        <v>1112</v>
      </c>
      <c r="D26" t="s">
        <v>1113</v>
      </c>
      <c r="E26" t="s">
        <v>1102</v>
      </c>
      <c r="F26" t="s">
        <v>1004</v>
      </c>
      <c r="G26" t="s">
        <v>1005</v>
      </c>
      <c r="I26" t="s">
        <v>1084</v>
      </c>
    </row>
  </sheetData>
  <mergeCells count="1">
    <mergeCell ref="A1:I1"/>
  </mergeCells>
  <conditionalFormatting sqref="G4:G18">
    <cfRule type="expression" dxfId="2" priority="1">
      <formula>G4="Fail"</formula>
    </cfRule>
    <cfRule type="expression" dxfId="1" priority="2">
      <formula>G4="Pass"</formula>
    </cfRule>
  </conditionalFormatting>
  <dataValidations count="1">
    <dataValidation type="list" sqref="G4:G26" xr:uid="{00000000-0002-0000-0A00-000000000000}">
      <formula1>"Not Run,Pass,Fail,Blocked"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4"/>
  <sheetViews>
    <sheetView workbookViewId="0"/>
  </sheetViews>
  <sheetFormatPr defaultRowHeight="14.25"/>
  <cols>
    <col min="1" max="1" width="13" customWidth="1"/>
    <col min="2" max="2" width="11" customWidth="1"/>
    <col min="3" max="3" width="34" customWidth="1"/>
    <col min="4" max="4" width="30" customWidth="1"/>
    <col min="5" max="5" width="16" customWidth="1"/>
    <col min="6" max="6" width="12" customWidth="1"/>
    <col min="7" max="7" width="52" customWidth="1"/>
    <col min="8" max="8" width="18" customWidth="1"/>
    <col min="9" max="9" width="65" customWidth="1"/>
  </cols>
  <sheetData>
    <row r="1" spans="1:9" ht="20.25">
      <c r="A1" s="18" t="s">
        <v>1114</v>
      </c>
      <c r="B1" s="18"/>
      <c r="C1" s="18"/>
      <c r="D1" s="18"/>
      <c r="E1" s="18"/>
      <c r="F1" s="18"/>
      <c r="G1" s="18"/>
      <c r="H1" s="18"/>
      <c r="I1" s="18"/>
    </row>
    <row r="3" spans="1:9" ht="15">
      <c r="A3" s="11" t="s">
        <v>529</v>
      </c>
      <c r="B3" s="11" t="s">
        <v>54</v>
      </c>
      <c r="C3" s="11" t="s">
        <v>57</v>
      </c>
      <c r="D3" s="11" t="s">
        <v>531</v>
      </c>
      <c r="E3" s="11" t="s">
        <v>1115</v>
      </c>
      <c r="F3" s="11" t="s">
        <v>1116</v>
      </c>
      <c r="G3" s="11" t="s">
        <v>1117</v>
      </c>
      <c r="H3" s="11" t="s">
        <v>1118</v>
      </c>
      <c r="I3" s="11" t="s">
        <v>1119</v>
      </c>
    </row>
    <row r="4" spans="1:9">
      <c r="A4" t="s">
        <v>537</v>
      </c>
      <c r="B4" t="s">
        <v>215</v>
      </c>
      <c r="C4" t="s">
        <v>217</v>
      </c>
      <c r="D4" t="s">
        <v>539</v>
      </c>
      <c r="E4" s="12">
        <v>115000</v>
      </c>
      <c r="F4">
        <v>4</v>
      </c>
      <c r="G4" t="s">
        <v>1120</v>
      </c>
      <c r="H4" t="s">
        <v>1121</v>
      </c>
      <c r="I4" t="s">
        <v>1122</v>
      </c>
    </row>
    <row r="5" spans="1:9">
      <c r="A5" t="s">
        <v>543</v>
      </c>
      <c r="B5" t="s">
        <v>252</v>
      </c>
      <c r="C5" t="s">
        <v>255</v>
      </c>
      <c r="D5" t="s">
        <v>539</v>
      </c>
      <c r="E5" s="12">
        <v>90000</v>
      </c>
      <c r="F5">
        <v>4</v>
      </c>
      <c r="G5" t="s">
        <v>1123</v>
      </c>
      <c r="H5" t="s">
        <v>1121</v>
      </c>
      <c r="I5" t="s">
        <v>1122</v>
      </c>
    </row>
    <row r="6" spans="1:9">
      <c r="A6" t="s">
        <v>546</v>
      </c>
      <c r="B6" t="s">
        <v>258</v>
      </c>
      <c r="C6" t="s">
        <v>259</v>
      </c>
      <c r="D6" t="s">
        <v>539</v>
      </c>
      <c r="E6" s="12">
        <v>155000</v>
      </c>
      <c r="F6">
        <v>4</v>
      </c>
      <c r="G6" t="s">
        <v>1124</v>
      </c>
      <c r="H6" t="s">
        <v>1121</v>
      </c>
      <c r="I6" t="s">
        <v>1122</v>
      </c>
    </row>
    <row r="7" spans="1:9">
      <c r="A7" t="s">
        <v>549</v>
      </c>
      <c r="B7" t="s">
        <v>297</v>
      </c>
      <c r="C7" t="s">
        <v>298</v>
      </c>
      <c r="D7" t="s">
        <v>551</v>
      </c>
      <c r="E7" s="12">
        <v>78000</v>
      </c>
      <c r="F7">
        <v>4</v>
      </c>
      <c r="G7" t="s">
        <v>1125</v>
      </c>
      <c r="H7" t="s">
        <v>1121</v>
      </c>
      <c r="I7" t="s">
        <v>1122</v>
      </c>
    </row>
    <row r="8" spans="1:9">
      <c r="A8" t="s">
        <v>552</v>
      </c>
      <c r="B8" t="s">
        <v>299</v>
      </c>
      <c r="C8" t="s">
        <v>300</v>
      </c>
      <c r="D8" t="s">
        <v>554</v>
      </c>
      <c r="E8" s="12">
        <v>235000</v>
      </c>
      <c r="F8">
        <v>5</v>
      </c>
      <c r="G8" t="s">
        <v>1126</v>
      </c>
      <c r="H8" t="s">
        <v>1121</v>
      </c>
      <c r="I8" t="s">
        <v>1122</v>
      </c>
    </row>
    <row r="9" spans="1:9">
      <c r="A9" t="s">
        <v>556</v>
      </c>
      <c r="B9" t="s">
        <v>301</v>
      </c>
      <c r="C9" t="s">
        <v>302</v>
      </c>
      <c r="D9" t="s">
        <v>558</v>
      </c>
      <c r="E9" s="12">
        <v>175000</v>
      </c>
      <c r="F9">
        <v>5</v>
      </c>
      <c r="G9" t="s">
        <v>1127</v>
      </c>
      <c r="H9" t="s">
        <v>1121</v>
      </c>
      <c r="I9" t="s">
        <v>1122</v>
      </c>
    </row>
    <row r="10" spans="1:9">
      <c r="A10" t="s">
        <v>560</v>
      </c>
      <c r="B10" t="s">
        <v>311</v>
      </c>
      <c r="C10" t="s">
        <v>312</v>
      </c>
      <c r="D10" t="s">
        <v>562</v>
      </c>
      <c r="E10" s="12">
        <v>110000</v>
      </c>
      <c r="F10">
        <v>4</v>
      </c>
      <c r="G10" t="s">
        <v>1128</v>
      </c>
      <c r="H10" t="s">
        <v>1121</v>
      </c>
      <c r="I10" t="s">
        <v>1122</v>
      </c>
    </row>
    <row r="11" spans="1:9">
      <c r="A11" t="s">
        <v>563</v>
      </c>
      <c r="B11" t="s">
        <v>315</v>
      </c>
      <c r="C11" t="s">
        <v>316</v>
      </c>
      <c r="D11" t="s">
        <v>565</v>
      </c>
      <c r="E11" s="12">
        <v>122000</v>
      </c>
      <c r="F11">
        <v>4</v>
      </c>
      <c r="G11" t="s">
        <v>1129</v>
      </c>
      <c r="H11" t="s">
        <v>1121</v>
      </c>
      <c r="I11" t="s">
        <v>1122</v>
      </c>
    </row>
    <row r="12" spans="1:9">
      <c r="A12" t="s">
        <v>567</v>
      </c>
      <c r="B12" t="s">
        <v>321</v>
      </c>
      <c r="C12" t="s">
        <v>322</v>
      </c>
      <c r="D12" t="s">
        <v>569</v>
      </c>
      <c r="E12" s="12">
        <v>125000</v>
      </c>
      <c r="F12">
        <v>4</v>
      </c>
      <c r="G12" t="s">
        <v>1130</v>
      </c>
      <c r="H12" t="s">
        <v>1121</v>
      </c>
      <c r="I12" t="s">
        <v>1122</v>
      </c>
    </row>
    <row r="13" spans="1:9">
      <c r="A13" t="s">
        <v>571</v>
      </c>
      <c r="B13" t="s">
        <v>323</v>
      </c>
      <c r="C13" t="s">
        <v>324</v>
      </c>
      <c r="D13" t="s">
        <v>573</v>
      </c>
      <c r="E13" s="12">
        <v>185000</v>
      </c>
      <c r="F13">
        <v>4</v>
      </c>
      <c r="G13" t="s">
        <v>1131</v>
      </c>
      <c r="H13" t="s">
        <v>1121</v>
      </c>
      <c r="I13" t="s">
        <v>1122</v>
      </c>
    </row>
    <row r="14" spans="1:9">
      <c r="A14" t="s">
        <v>575</v>
      </c>
      <c r="B14" t="s">
        <v>325</v>
      </c>
      <c r="C14" t="s">
        <v>326</v>
      </c>
      <c r="D14" t="s">
        <v>577</v>
      </c>
      <c r="E14" s="12">
        <v>140000</v>
      </c>
      <c r="F14">
        <v>4</v>
      </c>
      <c r="G14" t="s">
        <v>1132</v>
      </c>
      <c r="H14" t="s">
        <v>1121</v>
      </c>
      <c r="I14" t="s">
        <v>1122</v>
      </c>
    </row>
    <row r="15" spans="1:9">
      <c r="A15" t="s">
        <v>578</v>
      </c>
      <c r="B15" t="s">
        <v>327</v>
      </c>
      <c r="C15" t="s">
        <v>328</v>
      </c>
      <c r="D15" t="s">
        <v>580</v>
      </c>
      <c r="E15" s="12">
        <v>112000</v>
      </c>
      <c r="F15">
        <v>4</v>
      </c>
      <c r="G15" t="s">
        <v>1133</v>
      </c>
      <c r="H15" t="s">
        <v>1121</v>
      </c>
      <c r="I15" t="s">
        <v>1122</v>
      </c>
    </row>
    <row r="16" spans="1:9">
      <c r="A16" t="s">
        <v>582</v>
      </c>
      <c r="B16" t="s">
        <v>343</v>
      </c>
      <c r="C16" t="s">
        <v>344</v>
      </c>
      <c r="D16" t="s">
        <v>584</v>
      </c>
      <c r="E16" s="12">
        <v>88000</v>
      </c>
      <c r="F16">
        <v>4</v>
      </c>
      <c r="G16" t="s">
        <v>1134</v>
      </c>
      <c r="H16" t="s">
        <v>1121</v>
      </c>
      <c r="I16" t="s">
        <v>1122</v>
      </c>
    </row>
    <row r="17" spans="1:9">
      <c r="A17" t="s">
        <v>586</v>
      </c>
      <c r="B17" t="s">
        <v>345</v>
      </c>
      <c r="C17" t="s">
        <v>346</v>
      </c>
      <c r="D17" t="s">
        <v>588</v>
      </c>
      <c r="E17" s="12">
        <v>46000</v>
      </c>
      <c r="F17">
        <v>4</v>
      </c>
      <c r="G17" t="s">
        <v>1135</v>
      </c>
      <c r="H17" t="s">
        <v>1121</v>
      </c>
      <c r="I17" t="s">
        <v>1122</v>
      </c>
    </row>
    <row r="18" spans="1:9">
      <c r="A18" t="s">
        <v>590</v>
      </c>
      <c r="B18" t="s">
        <v>347</v>
      </c>
      <c r="C18" t="s">
        <v>348</v>
      </c>
      <c r="D18" t="s">
        <v>592</v>
      </c>
      <c r="E18" s="12">
        <v>28000</v>
      </c>
      <c r="F18">
        <v>4</v>
      </c>
      <c r="G18" t="s">
        <v>1136</v>
      </c>
      <c r="H18" t="s">
        <v>1121</v>
      </c>
      <c r="I18" t="s">
        <v>1122</v>
      </c>
    </row>
    <row r="19" spans="1:9">
      <c r="A19" t="s">
        <v>593</v>
      </c>
      <c r="B19" t="s">
        <v>274</v>
      </c>
      <c r="C19" t="s">
        <v>275</v>
      </c>
      <c r="D19" t="s">
        <v>595</v>
      </c>
      <c r="E19" s="12">
        <v>58000</v>
      </c>
      <c r="F19">
        <v>4</v>
      </c>
      <c r="G19" t="s">
        <v>1137</v>
      </c>
      <c r="H19" t="s">
        <v>1121</v>
      </c>
      <c r="I19" t="s">
        <v>1122</v>
      </c>
    </row>
    <row r="20" spans="1:9">
      <c r="A20" t="s">
        <v>597</v>
      </c>
      <c r="B20" t="s">
        <v>284</v>
      </c>
      <c r="C20" t="s">
        <v>285</v>
      </c>
      <c r="D20" t="s">
        <v>599</v>
      </c>
      <c r="E20" s="12">
        <v>40000</v>
      </c>
      <c r="F20">
        <v>4</v>
      </c>
      <c r="G20" t="s">
        <v>1138</v>
      </c>
      <c r="H20" t="s">
        <v>1121</v>
      </c>
      <c r="I20" t="s">
        <v>1122</v>
      </c>
    </row>
    <row r="21" spans="1:9">
      <c r="A21" t="s">
        <v>600</v>
      </c>
      <c r="B21" t="s">
        <v>415</v>
      </c>
      <c r="C21" t="s">
        <v>1139</v>
      </c>
      <c r="D21" t="s">
        <v>602</v>
      </c>
      <c r="E21" s="12">
        <v>76000</v>
      </c>
      <c r="F21">
        <v>4</v>
      </c>
      <c r="G21" t="s">
        <v>1140</v>
      </c>
      <c r="H21" t="s">
        <v>1121</v>
      </c>
      <c r="I21" t="s">
        <v>1122</v>
      </c>
    </row>
    <row r="22" spans="1:9">
      <c r="A22" t="s">
        <v>604</v>
      </c>
      <c r="B22" t="s">
        <v>448</v>
      </c>
      <c r="C22" t="s">
        <v>1141</v>
      </c>
      <c r="D22" t="s">
        <v>539</v>
      </c>
      <c r="E22" s="12">
        <v>70000</v>
      </c>
      <c r="F22">
        <v>4</v>
      </c>
      <c r="G22" t="s">
        <v>1142</v>
      </c>
      <c r="H22" t="s">
        <v>1121</v>
      </c>
      <c r="I22" t="s">
        <v>1122</v>
      </c>
    </row>
    <row r="23" spans="1:9">
      <c r="A23" t="s">
        <v>552</v>
      </c>
      <c r="B23" t="s">
        <v>299</v>
      </c>
      <c r="C23" t="s">
        <v>300</v>
      </c>
      <c r="D23" t="s">
        <v>554</v>
      </c>
      <c r="E23" s="12">
        <v>235000</v>
      </c>
      <c r="F23">
        <v>5</v>
      </c>
      <c r="G23" t="s">
        <v>1143</v>
      </c>
      <c r="H23" t="s">
        <v>1144</v>
      </c>
      <c r="I23" t="s">
        <v>1145</v>
      </c>
    </row>
    <row r="24" spans="1:9">
      <c r="A24" t="s">
        <v>575</v>
      </c>
      <c r="B24" t="s">
        <v>325</v>
      </c>
      <c r="C24" t="s">
        <v>326</v>
      </c>
      <c r="D24" t="s">
        <v>577</v>
      </c>
      <c r="E24" s="12">
        <v>140000</v>
      </c>
      <c r="F24">
        <v>4</v>
      </c>
      <c r="G24" t="s">
        <v>1146</v>
      </c>
      <c r="H24" t="s">
        <v>1144</v>
      </c>
      <c r="I24" t="s">
        <v>1147</v>
      </c>
    </row>
  </sheetData>
  <mergeCells count="1">
    <mergeCell ref="A1:I1"/>
  </mergeCells>
  <conditionalFormatting sqref="H4:H24">
    <cfRule type="expression" dxfId="0" priority="1">
      <formula>H4="NEGATIVE TEST"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2"/>
  <sheetViews>
    <sheetView workbookViewId="0"/>
  </sheetViews>
  <sheetFormatPr defaultRowHeight="14.25"/>
  <cols>
    <col min="1" max="1" width="11" customWidth="1"/>
    <col min="2" max="2" width="42" customWidth="1"/>
    <col min="3" max="7" width="30" customWidth="1"/>
    <col min="8" max="8" width="18" customWidth="1"/>
  </cols>
  <sheetData>
    <row r="1" spans="1:8" ht="20.25">
      <c r="A1" s="18" t="s">
        <v>1148</v>
      </c>
      <c r="B1" s="18"/>
      <c r="C1" s="18"/>
      <c r="D1" s="18"/>
      <c r="E1" s="18"/>
      <c r="F1" s="18"/>
      <c r="G1" s="18"/>
      <c r="H1" s="18"/>
    </row>
    <row r="3" spans="1:8" ht="15">
      <c r="A3" s="10" t="s">
        <v>54</v>
      </c>
      <c r="B3" s="10" t="s">
        <v>57</v>
      </c>
      <c r="C3" s="10" t="s">
        <v>1149</v>
      </c>
      <c r="D3" s="10" t="s">
        <v>1150</v>
      </c>
      <c r="E3" s="10" t="s">
        <v>1151</v>
      </c>
      <c r="F3" s="10" t="s">
        <v>1152</v>
      </c>
      <c r="G3" s="10" t="s">
        <v>1153</v>
      </c>
      <c r="H3" s="10" t="s">
        <v>1154</v>
      </c>
    </row>
    <row r="4" spans="1:8">
      <c r="A4" t="s">
        <v>215</v>
      </c>
      <c r="B4" t="s">
        <v>217</v>
      </c>
      <c r="C4" t="s">
        <v>1155</v>
      </c>
      <c r="D4" t="s">
        <v>1156</v>
      </c>
      <c r="E4" t="s">
        <v>1157</v>
      </c>
      <c r="F4" t="s">
        <v>1158</v>
      </c>
      <c r="H4" t="s">
        <v>1159</v>
      </c>
    </row>
    <row r="5" spans="1:8">
      <c r="A5" t="s">
        <v>252</v>
      </c>
      <c r="B5" t="s">
        <v>255</v>
      </c>
      <c r="C5" t="s">
        <v>1160</v>
      </c>
      <c r="D5" t="s">
        <v>1161</v>
      </c>
      <c r="E5" t="s">
        <v>1162</v>
      </c>
      <c r="F5" t="s">
        <v>1163</v>
      </c>
      <c r="H5" t="s">
        <v>1159</v>
      </c>
    </row>
    <row r="6" spans="1:8">
      <c r="A6" t="s">
        <v>258</v>
      </c>
      <c r="B6" t="s">
        <v>259</v>
      </c>
      <c r="C6" t="s">
        <v>1164</v>
      </c>
      <c r="D6" t="s">
        <v>1165</v>
      </c>
      <c r="E6" t="s">
        <v>1166</v>
      </c>
      <c r="F6" t="s">
        <v>1167</v>
      </c>
      <c r="H6" t="s">
        <v>1159</v>
      </c>
    </row>
    <row r="7" spans="1:8">
      <c r="A7" t="s">
        <v>297</v>
      </c>
      <c r="B7" t="s">
        <v>298</v>
      </c>
      <c r="C7" t="s">
        <v>1168</v>
      </c>
      <c r="D7" t="s">
        <v>1169</v>
      </c>
      <c r="E7" t="s">
        <v>1170</v>
      </c>
      <c r="F7" t="s">
        <v>1171</v>
      </c>
      <c r="H7" t="s">
        <v>1159</v>
      </c>
    </row>
    <row r="8" spans="1:8">
      <c r="A8" t="s">
        <v>299</v>
      </c>
      <c r="B8" t="s">
        <v>300</v>
      </c>
      <c r="C8" t="s">
        <v>1172</v>
      </c>
      <c r="D8" t="s">
        <v>1173</v>
      </c>
      <c r="E8" t="s">
        <v>1169</v>
      </c>
      <c r="F8" t="s">
        <v>1174</v>
      </c>
      <c r="G8" t="s">
        <v>1175</v>
      </c>
      <c r="H8" t="s">
        <v>1159</v>
      </c>
    </row>
    <row r="9" spans="1:8">
      <c r="A9" t="s">
        <v>301</v>
      </c>
      <c r="B9" t="s">
        <v>302</v>
      </c>
      <c r="C9" t="s">
        <v>1176</v>
      </c>
      <c r="D9" t="s">
        <v>1177</v>
      </c>
      <c r="E9" t="s">
        <v>1178</v>
      </c>
      <c r="F9" t="s">
        <v>1179</v>
      </c>
      <c r="G9" t="s">
        <v>1180</v>
      </c>
      <c r="H9" t="s">
        <v>1159</v>
      </c>
    </row>
    <row r="10" spans="1:8">
      <c r="A10" t="s">
        <v>311</v>
      </c>
      <c r="B10" t="s">
        <v>312</v>
      </c>
      <c r="C10" t="s">
        <v>1181</v>
      </c>
      <c r="D10" t="s">
        <v>1182</v>
      </c>
      <c r="E10" t="s">
        <v>1183</v>
      </c>
      <c r="F10" t="s">
        <v>1184</v>
      </c>
      <c r="H10" t="s">
        <v>1159</v>
      </c>
    </row>
    <row r="11" spans="1:8">
      <c r="A11" t="s">
        <v>315</v>
      </c>
      <c r="B11" t="s">
        <v>316</v>
      </c>
      <c r="C11" t="s">
        <v>1185</v>
      </c>
      <c r="D11" t="s">
        <v>1186</v>
      </c>
      <c r="E11" t="s">
        <v>1187</v>
      </c>
      <c r="F11" t="s">
        <v>1188</v>
      </c>
      <c r="H11" t="s">
        <v>1159</v>
      </c>
    </row>
    <row r="12" spans="1:8">
      <c r="A12" t="s">
        <v>321</v>
      </c>
      <c r="B12" t="s">
        <v>322</v>
      </c>
      <c r="C12" t="s">
        <v>1189</v>
      </c>
      <c r="D12" t="s">
        <v>1190</v>
      </c>
      <c r="E12" t="s">
        <v>1191</v>
      </c>
      <c r="F12" t="s">
        <v>1192</v>
      </c>
      <c r="H12" t="s">
        <v>1159</v>
      </c>
    </row>
    <row r="13" spans="1:8">
      <c r="A13" t="s">
        <v>323</v>
      </c>
      <c r="B13" t="s">
        <v>324</v>
      </c>
      <c r="C13" t="s">
        <v>1193</v>
      </c>
      <c r="D13" t="s">
        <v>1194</v>
      </c>
      <c r="E13" t="s">
        <v>1195</v>
      </c>
      <c r="F13" t="s">
        <v>1196</v>
      </c>
      <c r="H13" t="s">
        <v>1159</v>
      </c>
    </row>
    <row r="14" spans="1:8">
      <c r="A14" t="s">
        <v>325</v>
      </c>
      <c r="B14" t="s">
        <v>326</v>
      </c>
      <c r="C14" t="s">
        <v>1193</v>
      </c>
      <c r="D14" t="s">
        <v>1194</v>
      </c>
      <c r="E14" t="s">
        <v>1197</v>
      </c>
      <c r="F14" t="s">
        <v>1198</v>
      </c>
      <c r="H14" t="s">
        <v>1159</v>
      </c>
    </row>
    <row r="15" spans="1:8">
      <c r="A15" t="s">
        <v>327</v>
      </c>
      <c r="B15" t="s">
        <v>328</v>
      </c>
      <c r="C15" t="s">
        <v>1199</v>
      </c>
      <c r="D15" t="s">
        <v>1200</v>
      </c>
      <c r="E15" t="s">
        <v>1201</v>
      </c>
      <c r="F15" t="s">
        <v>1192</v>
      </c>
      <c r="H15" t="s">
        <v>1159</v>
      </c>
    </row>
    <row r="16" spans="1:8">
      <c r="A16" t="s">
        <v>343</v>
      </c>
      <c r="B16" t="s">
        <v>344</v>
      </c>
      <c r="C16" t="s">
        <v>1202</v>
      </c>
      <c r="D16" t="s">
        <v>1203</v>
      </c>
      <c r="E16" t="s">
        <v>1204</v>
      </c>
      <c r="F16" t="s">
        <v>1192</v>
      </c>
      <c r="H16" t="s">
        <v>1159</v>
      </c>
    </row>
    <row r="17" spans="1:8">
      <c r="A17" t="s">
        <v>345</v>
      </c>
      <c r="B17" t="s">
        <v>346</v>
      </c>
      <c r="C17" t="s">
        <v>1205</v>
      </c>
      <c r="D17" t="s">
        <v>1206</v>
      </c>
      <c r="E17" t="s">
        <v>1207</v>
      </c>
      <c r="F17" t="s">
        <v>1208</v>
      </c>
      <c r="H17" t="s">
        <v>1159</v>
      </c>
    </row>
    <row r="18" spans="1:8">
      <c r="A18" t="s">
        <v>347</v>
      </c>
      <c r="B18" t="s">
        <v>348</v>
      </c>
      <c r="C18" t="s">
        <v>1209</v>
      </c>
      <c r="D18" t="s">
        <v>1210</v>
      </c>
      <c r="E18" t="s">
        <v>1211</v>
      </c>
      <c r="F18" t="s">
        <v>1212</v>
      </c>
      <c r="H18" t="s">
        <v>1159</v>
      </c>
    </row>
    <row r="19" spans="1:8">
      <c r="A19" t="s">
        <v>274</v>
      </c>
      <c r="B19" t="s">
        <v>275</v>
      </c>
      <c r="C19" t="s">
        <v>1213</v>
      </c>
      <c r="D19" t="s">
        <v>1214</v>
      </c>
      <c r="E19" t="s">
        <v>1215</v>
      </c>
      <c r="F19" t="s">
        <v>1192</v>
      </c>
      <c r="H19" t="s">
        <v>1159</v>
      </c>
    </row>
    <row r="20" spans="1:8">
      <c r="A20" t="s">
        <v>284</v>
      </c>
      <c r="B20" t="s">
        <v>285</v>
      </c>
      <c r="C20" t="s">
        <v>1216</v>
      </c>
      <c r="D20" t="s">
        <v>1217</v>
      </c>
      <c r="E20" t="s">
        <v>1218</v>
      </c>
      <c r="F20" t="s">
        <v>1219</v>
      </c>
      <c r="H20" t="s">
        <v>1159</v>
      </c>
    </row>
    <row r="21" spans="1:8">
      <c r="A21" t="s">
        <v>415</v>
      </c>
      <c r="B21" t="s">
        <v>1139</v>
      </c>
      <c r="C21" t="s">
        <v>1220</v>
      </c>
      <c r="D21" t="s">
        <v>1221</v>
      </c>
      <c r="E21" t="s">
        <v>1222</v>
      </c>
      <c r="F21" t="s">
        <v>1223</v>
      </c>
      <c r="H21" t="s">
        <v>1159</v>
      </c>
    </row>
    <row r="22" spans="1:8">
      <c r="A22" t="s">
        <v>448</v>
      </c>
      <c r="B22" t="s">
        <v>1141</v>
      </c>
      <c r="C22" t="s">
        <v>1224</v>
      </c>
      <c r="D22" t="s">
        <v>1225</v>
      </c>
      <c r="E22" t="s">
        <v>1226</v>
      </c>
      <c r="F22" t="s">
        <v>1227</v>
      </c>
      <c r="H22" t="s">
        <v>1159</v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27"/>
  <sheetViews>
    <sheetView workbookViewId="0"/>
  </sheetViews>
  <sheetFormatPr defaultRowHeight="14.25"/>
  <cols>
    <col min="1" max="1" width="9" customWidth="1"/>
    <col min="2" max="2" width="16" customWidth="1"/>
    <col min="3" max="3" width="18" customWidth="1"/>
    <col min="4" max="4" width="9" customWidth="1"/>
    <col min="5" max="6" width="11" customWidth="1"/>
    <col min="7" max="8" width="15" customWidth="1"/>
    <col min="9" max="9" width="11" customWidth="1"/>
    <col min="10" max="11" width="16" customWidth="1"/>
    <col min="12" max="12" width="18" customWidth="1"/>
    <col min="13" max="13" width="24" customWidth="1"/>
    <col min="14" max="14" width="20" customWidth="1"/>
    <col min="15" max="15" width="32" customWidth="1"/>
    <col min="16" max="16" width="42" customWidth="1"/>
    <col min="18" max="18" width="28" customWidth="1"/>
    <col min="19" max="19" width="18" customWidth="1"/>
  </cols>
  <sheetData>
    <row r="1" spans="1:19" ht="20.25">
      <c r="A1" s="19" t="s">
        <v>1228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3" spans="1:19" ht="30">
      <c r="A3" s="14" t="s">
        <v>253</v>
      </c>
      <c r="B3" s="14" t="s">
        <v>37</v>
      </c>
      <c r="C3" s="14" t="s">
        <v>1229</v>
      </c>
      <c r="D3" s="14" t="s">
        <v>38</v>
      </c>
      <c r="E3" s="14" t="s">
        <v>1230</v>
      </c>
      <c r="F3" s="14" t="s">
        <v>1231</v>
      </c>
      <c r="G3" s="14" t="s">
        <v>1232</v>
      </c>
      <c r="H3" s="14" t="s">
        <v>534</v>
      </c>
      <c r="I3" s="14" t="s">
        <v>1233</v>
      </c>
      <c r="J3" s="14" t="s">
        <v>1234</v>
      </c>
      <c r="K3" s="14" t="s">
        <v>1235</v>
      </c>
      <c r="L3" s="14" t="s">
        <v>1236</v>
      </c>
      <c r="M3" s="14" t="s">
        <v>1237</v>
      </c>
      <c r="N3" s="14" t="s">
        <v>1238</v>
      </c>
      <c r="O3" s="14" t="s">
        <v>1239</v>
      </c>
      <c r="P3" s="14" t="s">
        <v>1240</v>
      </c>
      <c r="R3" s="13" t="s">
        <v>1241</v>
      </c>
      <c r="S3" s="13" t="s">
        <v>23</v>
      </c>
    </row>
    <row r="4" spans="1:19" ht="15">
      <c r="A4" s="4" t="s">
        <v>1242</v>
      </c>
      <c r="B4" s="4" t="s">
        <v>42</v>
      </c>
      <c r="C4" s="4" t="s">
        <v>1243</v>
      </c>
      <c r="D4" s="4">
        <v>2</v>
      </c>
      <c r="E4" s="4">
        <v>750</v>
      </c>
      <c r="F4" s="4" t="s">
        <v>1244</v>
      </c>
      <c r="G4" s="4" t="s">
        <v>1245</v>
      </c>
      <c r="H4" s="4" t="s">
        <v>1246</v>
      </c>
      <c r="I4" s="8">
        <v>330</v>
      </c>
      <c r="J4" s="8">
        <v>247500</v>
      </c>
      <c r="K4" s="8" t="s">
        <v>1247</v>
      </c>
      <c r="L4" s="8">
        <v>0</v>
      </c>
      <c r="M4" s="8">
        <v>5000</v>
      </c>
      <c r="N4" s="8">
        <v>252500</v>
      </c>
      <c r="O4" t="s">
        <v>1248</v>
      </c>
      <c r="P4" t="s">
        <v>1249</v>
      </c>
      <c r="R4" s="15" t="s">
        <v>1250</v>
      </c>
      <c r="S4" s="7">
        <v>7987000</v>
      </c>
    </row>
    <row r="5" spans="1:19" ht="15">
      <c r="A5" s="4" t="s">
        <v>1251</v>
      </c>
      <c r="B5" s="4" t="s">
        <v>42</v>
      </c>
      <c r="C5" s="4" t="s">
        <v>1243</v>
      </c>
      <c r="D5" s="4">
        <v>2</v>
      </c>
      <c r="E5" s="4">
        <v>750</v>
      </c>
      <c r="F5" s="4" t="s">
        <v>1244</v>
      </c>
      <c r="G5" s="4" t="s">
        <v>1245</v>
      </c>
      <c r="H5" s="4" t="s">
        <v>1246</v>
      </c>
      <c r="I5" s="8">
        <v>330</v>
      </c>
      <c r="J5" s="8">
        <v>247500</v>
      </c>
      <c r="K5" s="8" t="s">
        <v>1247</v>
      </c>
      <c r="L5" s="8">
        <v>0</v>
      </c>
      <c r="M5" s="8">
        <v>5000</v>
      </c>
      <c r="N5" s="8">
        <v>252500</v>
      </c>
      <c r="O5" t="s">
        <v>1248</v>
      </c>
      <c r="P5" t="s">
        <v>1249</v>
      </c>
      <c r="R5" s="15" t="s">
        <v>1252</v>
      </c>
      <c r="S5" s="7">
        <v>292000</v>
      </c>
    </row>
    <row r="6" spans="1:19" ht="15">
      <c r="A6" s="4" t="s">
        <v>1253</v>
      </c>
      <c r="B6" s="4" t="s">
        <v>42</v>
      </c>
      <c r="C6" s="4" t="s">
        <v>1243</v>
      </c>
      <c r="D6" s="4">
        <v>2</v>
      </c>
      <c r="E6" s="4">
        <v>750</v>
      </c>
      <c r="F6" s="4" t="s">
        <v>1244</v>
      </c>
      <c r="G6" s="4" t="s">
        <v>1245</v>
      </c>
      <c r="H6" s="4" t="s">
        <v>1246</v>
      </c>
      <c r="I6" s="8">
        <v>330</v>
      </c>
      <c r="J6" s="8">
        <v>247500</v>
      </c>
      <c r="K6" s="8" t="s">
        <v>1254</v>
      </c>
      <c r="L6" s="8">
        <v>12000</v>
      </c>
      <c r="M6" s="8">
        <v>0</v>
      </c>
      <c r="N6" s="8">
        <v>259500</v>
      </c>
      <c r="P6" t="s">
        <v>1249</v>
      </c>
      <c r="R6" s="15" t="s">
        <v>1255</v>
      </c>
      <c r="S6" s="7">
        <v>62500</v>
      </c>
    </row>
    <row r="7" spans="1:19" ht="15">
      <c r="A7" s="4" t="s">
        <v>1256</v>
      </c>
      <c r="B7" s="4" t="s">
        <v>42</v>
      </c>
      <c r="C7" s="4" t="s">
        <v>1243</v>
      </c>
      <c r="D7" s="4">
        <v>2</v>
      </c>
      <c r="E7" s="4">
        <v>750</v>
      </c>
      <c r="F7" s="4" t="s">
        <v>1244</v>
      </c>
      <c r="G7" s="4" t="s">
        <v>1245</v>
      </c>
      <c r="H7" s="4" t="s">
        <v>1246</v>
      </c>
      <c r="I7" s="8">
        <v>330</v>
      </c>
      <c r="J7" s="8">
        <v>247500</v>
      </c>
      <c r="K7" s="8" t="s">
        <v>1254</v>
      </c>
      <c r="L7" s="8">
        <v>12000</v>
      </c>
      <c r="M7" s="8">
        <v>0</v>
      </c>
      <c r="N7" s="8">
        <v>259500</v>
      </c>
      <c r="P7" t="s">
        <v>1249</v>
      </c>
      <c r="R7" s="15" t="s">
        <v>1257</v>
      </c>
      <c r="S7" s="7">
        <v>8341500</v>
      </c>
    </row>
    <row r="8" spans="1:19" ht="15">
      <c r="A8" s="4" t="s">
        <v>1258</v>
      </c>
      <c r="B8" s="4" t="s">
        <v>45</v>
      </c>
      <c r="C8" s="4" t="s">
        <v>1243</v>
      </c>
      <c r="D8" s="4">
        <v>3</v>
      </c>
      <c r="E8" s="4">
        <v>950</v>
      </c>
      <c r="F8" s="4" t="s">
        <v>1244</v>
      </c>
      <c r="G8" s="4" t="s">
        <v>1245</v>
      </c>
      <c r="H8" s="4" t="s">
        <v>1246</v>
      </c>
      <c r="I8" s="8">
        <v>325</v>
      </c>
      <c r="J8" s="8">
        <v>308750</v>
      </c>
      <c r="K8" s="8" t="s">
        <v>1247</v>
      </c>
      <c r="L8" s="8">
        <v>0</v>
      </c>
      <c r="M8" s="8">
        <v>-5000</v>
      </c>
      <c r="N8" s="8">
        <v>303750</v>
      </c>
      <c r="O8" t="s">
        <v>1259</v>
      </c>
      <c r="P8" t="s">
        <v>1249</v>
      </c>
      <c r="R8" s="15" t="s">
        <v>1260</v>
      </c>
      <c r="S8" s="7">
        <v>347562.5</v>
      </c>
    </row>
    <row r="9" spans="1:19">
      <c r="A9" s="4" t="s">
        <v>1261</v>
      </c>
      <c r="B9" s="4" t="s">
        <v>45</v>
      </c>
      <c r="C9" s="4" t="s">
        <v>1243</v>
      </c>
      <c r="D9" s="4">
        <v>3</v>
      </c>
      <c r="E9" s="4">
        <v>950</v>
      </c>
      <c r="F9" s="4" t="s">
        <v>1244</v>
      </c>
      <c r="G9" s="4" t="s">
        <v>1245</v>
      </c>
      <c r="H9" s="4" t="s">
        <v>1246</v>
      </c>
      <c r="I9" s="8">
        <v>325</v>
      </c>
      <c r="J9" s="8">
        <v>308750</v>
      </c>
      <c r="K9" s="8" t="s">
        <v>1247</v>
      </c>
      <c r="L9" s="8">
        <v>0</v>
      </c>
      <c r="M9" s="8">
        <v>-5000</v>
      </c>
      <c r="N9" s="8">
        <v>303750</v>
      </c>
      <c r="O9" t="s">
        <v>1259</v>
      </c>
      <c r="P9" t="s">
        <v>1249</v>
      </c>
    </row>
    <row r="10" spans="1:19">
      <c r="A10" s="4" t="s">
        <v>1262</v>
      </c>
      <c r="B10" s="4" t="s">
        <v>45</v>
      </c>
      <c r="C10" s="4" t="s">
        <v>1243</v>
      </c>
      <c r="D10" s="4">
        <v>3</v>
      </c>
      <c r="E10" s="4">
        <v>950</v>
      </c>
      <c r="F10" s="4" t="s">
        <v>1244</v>
      </c>
      <c r="G10" s="4" t="s">
        <v>1245</v>
      </c>
      <c r="H10" s="4" t="s">
        <v>1246</v>
      </c>
      <c r="I10" s="8">
        <v>325</v>
      </c>
      <c r="J10" s="8">
        <v>308750</v>
      </c>
      <c r="K10" s="8" t="s">
        <v>1247</v>
      </c>
      <c r="L10" s="8">
        <v>0</v>
      </c>
      <c r="M10" s="8">
        <v>0</v>
      </c>
      <c r="N10" s="8">
        <v>308750</v>
      </c>
      <c r="P10" t="s">
        <v>1249</v>
      </c>
    </row>
    <row r="11" spans="1:19">
      <c r="A11" s="4" t="s">
        <v>1263</v>
      </c>
      <c r="B11" s="4" t="s">
        <v>45</v>
      </c>
      <c r="C11" s="4" t="s">
        <v>1243</v>
      </c>
      <c r="D11" s="4">
        <v>3</v>
      </c>
      <c r="E11" s="4">
        <v>950</v>
      </c>
      <c r="F11" s="4" t="s">
        <v>1244</v>
      </c>
      <c r="G11" s="4" t="s">
        <v>1245</v>
      </c>
      <c r="H11" s="4" t="s">
        <v>1246</v>
      </c>
      <c r="I11" s="8">
        <v>325</v>
      </c>
      <c r="J11" s="8">
        <v>308750</v>
      </c>
      <c r="K11" s="8" t="s">
        <v>1247</v>
      </c>
      <c r="L11" s="8">
        <v>0</v>
      </c>
      <c r="M11" s="8">
        <v>-7500</v>
      </c>
      <c r="N11" s="8">
        <v>301250</v>
      </c>
      <c r="O11" t="s">
        <v>1264</v>
      </c>
      <c r="P11" t="s">
        <v>1249</v>
      </c>
    </row>
    <row r="12" spans="1:19">
      <c r="A12" s="4" t="s">
        <v>1265</v>
      </c>
      <c r="B12" s="4" t="s">
        <v>45</v>
      </c>
      <c r="C12" s="4" t="s">
        <v>1243</v>
      </c>
      <c r="D12" s="4">
        <v>3</v>
      </c>
      <c r="E12" s="4">
        <v>950</v>
      </c>
      <c r="F12" s="4" t="s">
        <v>1244</v>
      </c>
      <c r="G12" s="4" t="s">
        <v>1245</v>
      </c>
      <c r="H12" s="4" t="s">
        <v>1246</v>
      </c>
      <c r="I12" s="8">
        <v>325</v>
      </c>
      <c r="J12" s="8">
        <v>308750</v>
      </c>
      <c r="K12" s="8" t="s">
        <v>1254</v>
      </c>
      <c r="L12" s="8">
        <v>12000</v>
      </c>
      <c r="M12" s="8">
        <v>0</v>
      </c>
      <c r="N12" s="8">
        <v>320750</v>
      </c>
      <c r="P12" t="s">
        <v>1249</v>
      </c>
    </row>
    <row r="13" spans="1:19">
      <c r="A13" s="4" t="s">
        <v>1266</v>
      </c>
      <c r="B13" s="4" t="s">
        <v>45</v>
      </c>
      <c r="C13" s="4" t="s">
        <v>1243</v>
      </c>
      <c r="D13" s="4">
        <v>3</v>
      </c>
      <c r="E13" s="4">
        <v>950</v>
      </c>
      <c r="F13" s="4" t="s">
        <v>1244</v>
      </c>
      <c r="G13" s="4" t="s">
        <v>1245</v>
      </c>
      <c r="H13" s="4" t="s">
        <v>1246</v>
      </c>
      <c r="I13" s="8">
        <v>325</v>
      </c>
      <c r="J13" s="8">
        <v>308750</v>
      </c>
      <c r="K13" s="8" t="s">
        <v>1254</v>
      </c>
      <c r="L13" s="8">
        <v>12000</v>
      </c>
      <c r="M13" s="8">
        <v>0</v>
      </c>
      <c r="N13" s="8">
        <v>320750</v>
      </c>
      <c r="P13" t="s">
        <v>1249</v>
      </c>
    </row>
    <row r="14" spans="1:19">
      <c r="A14" s="4" t="s">
        <v>1267</v>
      </c>
      <c r="B14" s="4" t="s">
        <v>45</v>
      </c>
      <c r="C14" s="4" t="s">
        <v>1243</v>
      </c>
      <c r="D14" s="4">
        <v>3</v>
      </c>
      <c r="E14" s="4">
        <v>950</v>
      </c>
      <c r="F14" s="4" t="s">
        <v>1244</v>
      </c>
      <c r="G14" s="4" t="s">
        <v>1245</v>
      </c>
      <c r="H14" s="4" t="s">
        <v>1246</v>
      </c>
      <c r="I14" s="8">
        <v>325</v>
      </c>
      <c r="J14" s="8">
        <v>308750</v>
      </c>
      <c r="K14" s="8" t="s">
        <v>1254</v>
      </c>
      <c r="L14" s="8">
        <v>12000</v>
      </c>
      <c r="M14" s="8">
        <v>7500</v>
      </c>
      <c r="N14" s="8">
        <v>328250</v>
      </c>
      <c r="O14" t="s">
        <v>1268</v>
      </c>
      <c r="P14" t="s">
        <v>1249</v>
      </c>
    </row>
    <row r="15" spans="1:19">
      <c r="A15" s="4" t="s">
        <v>1269</v>
      </c>
      <c r="B15" s="4" t="s">
        <v>45</v>
      </c>
      <c r="C15" s="4" t="s">
        <v>1243</v>
      </c>
      <c r="D15" s="4">
        <v>3</v>
      </c>
      <c r="E15" s="4">
        <v>950</v>
      </c>
      <c r="F15" s="4" t="s">
        <v>1244</v>
      </c>
      <c r="G15" s="4" t="s">
        <v>1245</v>
      </c>
      <c r="H15" s="4" t="s">
        <v>1246</v>
      </c>
      <c r="I15" s="8">
        <v>325</v>
      </c>
      <c r="J15" s="8">
        <v>308750</v>
      </c>
      <c r="K15" s="8" t="s">
        <v>1254</v>
      </c>
      <c r="L15" s="8">
        <v>12000</v>
      </c>
      <c r="M15" s="8">
        <v>7500</v>
      </c>
      <c r="N15" s="8">
        <v>328250</v>
      </c>
      <c r="O15" t="s">
        <v>1268</v>
      </c>
      <c r="P15" t="s">
        <v>1249</v>
      </c>
    </row>
    <row r="16" spans="1:19">
      <c r="A16" s="4" t="s">
        <v>1270</v>
      </c>
      <c r="B16" s="4" t="s">
        <v>48</v>
      </c>
      <c r="C16" s="4" t="s">
        <v>1271</v>
      </c>
      <c r="D16" s="4">
        <v>3</v>
      </c>
      <c r="E16" s="4">
        <v>1050</v>
      </c>
      <c r="F16" s="4" t="s">
        <v>1272</v>
      </c>
      <c r="G16" s="4" t="s">
        <v>1245</v>
      </c>
      <c r="H16" s="4" t="s">
        <v>1246</v>
      </c>
      <c r="I16" s="8">
        <v>320</v>
      </c>
      <c r="J16" s="8">
        <v>336000</v>
      </c>
      <c r="K16" s="8" t="s">
        <v>1254</v>
      </c>
      <c r="L16" s="8">
        <v>15000</v>
      </c>
      <c r="M16" s="8">
        <v>0</v>
      </c>
      <c r="N16" s="8">
        <v>351000</v>
      </c>
      <c r="P16" t="s">
        <v>1249</v>
      </c>
    </row>
    <row r="17" spans="1:16">
      <c r="A17" s="4" t="s">
        <v>1273</v>
      </c>
      <c r="B17" s="4" t="s">
        <v>48</v>
      </c>
      <c r="C17" s="4" t="s">
        <v>1271</v>
      </c>
      <c r="D17" s="4">
        <v>3</v>
      </c>
      <c r="E17" s="4">
        <v>1050</v>
      </c>
      <c r="F17" s="4" t="s">
        <v>1272</v>
      </c>
      <c r="G17" s="4" t="s">
        <v>1245</v>
      </c>
      <c r="H17" s="4" t="s">
        <v>1246</v>
      </c>
      <c r="I17" s="8">
        <v>320</v>
      </c>
      <c r="J17" s="8">
        <v>336000</v>
      </c>
      <c r="K17" s="8" t="s">
        <v>1254</v>
      </c>
      <c r="L17" s="8">
        <v>15000</v>
      </c>
      <c r="M17" s="8">
        <v>0</v>
      </c>
      <c r="N17" s="8">
        <v>351000</v>
      </c>
      <c r="P17" t="s">
        <v>1249</v>
      </c>
    </row>
    <row r="18" spans="1:16">
      <c r="A18" s="4" t="s">
        <v>1274</v>
      </c>
      <c r="B18" s="4" t="s">
        <v>48</v>
      </c>
      <c r="C18" s="4" t="s">
        <v>1271</v>
      </c>
      <c r="D18" s="4">
        <v>3</v>
      </c>
      <c r="E18" s="4">
        <v>1050</v>
      </c>
      <c r="F18" s="4" t="s">
        <v>1272</v>
      </c>
      <c r="G18" s="4" t="s">
        <v>1245</v>
      </c>
      <c r="H18" s="4" t="s">
        <v>1246</v>
      </c>
      <c r="I18" s="8">
        <v>320</v>
      </c>
      <c r="J18" s="8">
        <v>336000</v>
      </c>
      <c r="K18" s="8" t="s">
        <v>1254</v>
      </c>
      <c r="L18" s="8">
        <v>15000</v>
      </c>
      <c r="M18" s="8">
        <v>0</v>
      </c>
      <c r="N18" s="8">
        <v>351000</v>
      </c>
      <c r="P18" t="s">
        <v>1249</v>
      </c>
    </row>
    <row r="19" spans="1:16">
      <c r="A19" s="4" t="s">
        <v>1275</v>
      </c>
      <c r="B19" s="4" t="s">
        <v>48</v>
      </c>
      <c r="C19" s="4" t="s">
        <v>1271</v>
      </c>
      <c r="D19" s="4">
        <v>3</v>
      </c>
      <c r="E19" s="4">
        <v>1050</v>
      </c>
      <c r="F19" s="4" t="s">
        <v>1272</v>
      </c>
      <c r="G19" s="4" t="s">
        <v>1245</v>
      </c>
      <c r="H19" s="4" t="s">
        <v>1246</v>
      </c>
      <c r="I19" s="8">
        <v>320</v>
      </c>
      <c r="J19" s="8">
        <v>336000</v>
      </c>
      <c r="K19" s="8" t="s">
        <v>1254</v>
      </c>
      <c r="L19" s="8">
        <v>15000</v>
      </c>
      <c r="M19" s="8">
        <v>0</v>
      </c>
      <c r="N19" s="8">
        <v>351000</v>
      </c>
      <c r="P19" t="s">
        <v>1249</v>
      </c>
    </row>
    <row r="20" spans="1:16">
      <c r="A20" s="4" t="s">
        <v>1276</v>
      </c>
      <c r="B20" s="4" t="s">
        <v>48</v>
      </c>
      <c r="C20" s="4" t="s">
        <v>1271</v>
      </c>
      <c r="D20" s="4">
        <v>3</v>
      </c>
      <c r="E20" s="4">
        <v>1050</v>
      </c>
      <c r="F20" s="4" t="s">
        <v>1272</v>
      </c>
      <c r="G20" s="4" t="s">
        <v>1245</v>
      </c>
      <c r="H20" s="4" t="s">
        <v>1246</v>
      </c>
      <c r="I20" s="8">
        <v>320</v>
      </c>
      <c r="J20" s="8">
        <v>336000</v>
      </c>
      <c r="K20" s="8" t="s">
        <v>1254</v>
      </c>
      <c r="L20" s="8">
        <v>15000</v>
      </c>
      <c r="M20" s="8">
        <v>7500</v>
      </c>
      <c r="N20" s="8">
        <v>358500</v>
      </c>
      <c r="O20" t="s">
        <v>1268</v>
      </c>
      <c r="P20" t="s">
        <v>1249</v>
      </c>
    </row>
    <row r="21" spans="1:16">
      <c r="A21" s="4" t="s">
        <v>1277</v>
      </c>
      <c r="B21" s="4" t="s">
        <v>48</v>
      </c>
      <c r="C21" s="4" t="s">
        <v>1271</v>
      </c>
      <c r="D21" s="4">
        <v>3</v>
      </c>
      <c r="E21" s="4">
        <v>1050</v>
      </c>
      <c r="F21" s="4" t="s">
        <v>1272</v>
      </c>
      <c r="G21" s="4" t="s">
        <v>1245</v>
      </c>
      <c r="H21" s="4" t="s">
        <v>1246</v>
      </c>
      <c r="I21" s="8">
        <v>320</v>
      </c>
      <c r="J21" s="8">
        <v>336000</v>
      </c>
      <c r="K21" s="8" t="s">
        <v>1254</v>
      </c>
      <c r="L21" s="8">
        <v>15000</v>
      </c>
      <c r="M21" s="8">
        <v>7500</v>
      </c>
      <c r="N21" s="8">
        <v>358500</v>
      </c>
      <c r="O21" t="s">
        <v>1268</v>
      </c>
      <c r="P21" t="s">
        <v>1249</v>
      </c>
    </row>
    <row r="22" spans="1:16">
      <c r="A22" s="4" t="s">
        <v>1278</v>
      </c>
      <c r="B22" s="4" t="s">
        <v>50</v>
      </c>
      <c r="C22" s="4" t="s">
        <v>1271</v>
      </c>
      <c r="D22" s="4">
        <v>4</v>
      </c>
      <c r="E22" s="4">
        <v>1350</v>
      </c>
      <c r="F22" s="4" t="s">
        <v>1272</v>
      </c>
      <c r="G22" s="4" t="s">
        <v>1245</v>
      </c>
      <c r="H22" s="4" t="s">
        <v>1246</v>
      </c>
      <c r="I22" s="8">
        <v>310</v>
      </c>
      <c r="J22" s="8">
        <v>418500</v>
      </c>
      <c r="K22" s="8" t="s">
        <v>1254</v>
      </c>
      <c r="L22" s="8">
        <v>15000</v>
      </c>
      <c r="M22" s="8">
        <v>0</v>
      </c>
      <c r="N22" s="8">
        <v>433500</v>
      </c>
      <c r="P22" t="s">
        <v>1249</v>
      </c>
    </row>
    <row r="23" spans="1:16">
      <c r="A23" s="4" t="s">
        <v>1279</v>
      </c>
      <c r="B23" s="4" t="s">
        <v>50</v>
      </c>
      <c r="C23" s="4" t="s">
        <v>1271</v>
      </c>
      <c r="D23" s="4">
        <v>4</v>
      </c>
      <c r="E23" s="4">
        <v>1350</v>
      </c>
      <c r="F23" s="4" t="s">
        <v>1272</v>
      </c>
      <c r="G23" s="4" t="s">
        <v>1245</v>
      </c>
      <c r="H23" s="4" t="s">
        <v>1246</v>
      </c>
      <c r="I23" s="8">
        <v>310</v>
      </c>
      <c r="J23" s="8">
        <v>418500</v>
      </c>
      <c r="K23" s="8" t="s">
        <v>1254</v>
      </c>
      <c r="L23" s="8">
        <v>15000</v>
      </c>
      <c r="M23" s="8">
        <v>10000</v>
      </c>
      <c r="N23" s="8">
        <v>443500</v>
      </c>
      <c r="O23" t="s">
        <v>1280</v>
      </c>
      <c r="P23" t="s">
        <v>1249</v>
      </c>
    </row>
    <row r="24" spans="1:16">
      <c r="A24" s="4" t="s">
        <v>1281</v>
      </c>
      <c r="B24" s="4" t="s">
        <v>50</v>
      </c>
      <c r="C24" s="4" t="s">
        <v>1271</v>
      </c>
      <c r="D24" s="4">
        <v>4</v>
      </c>
      <c r="E24" s="4">
        <v>1350</v>
      </c>
      <c r="F24" s="4" t="s">
        <v>1272</v>
      </c>
      <c r="G24" s="4" t="s">
        <v>1245</v>
      </c>
      <c r="H24" s="4" t="s">
        <v>1246</v>
      </c>
      <c r="I24" s="8">
        <v>310</v>
      </c>
      <c r="J24" s="8">
        <v>418500</v>
      </c>
      <c r="K24" s="8" t="s">
        <v>1282</v>
      </c>
      <c r="L24" s="8">
        <v>25000</v>
      </c>
      <c r="M24" s="8">
        <v>0</v>
      </c>
      <c r="N24" s="8">
        <v>443500</v>
      </c>
      <c r="P24" t="s">
        <v>1249</v>
      </c>
    </row>
    <row r="25" spans="1:16">
      <c r="A25" s="4" t="s">
        <v>1283</v>
      </c>
      <c r="B25" s="4" t="s">
        <v>50</v>
      </c>
      <c r="C25" s="4" t="s">
        <v>1271</v>
      </c>
      <c r="D25" s="4">
        <v>4</v>
      </c>
      <c r="E25" s="4">
        <v>1350</v>
      </c>
      <c r="F25" s="4" t="s">
        <v>1272</v>
      </c>
      <c r="G25" s="4" t="s">
        <v>1245</v>
      </c>
      <c r="H25" s="4" t="s">
        <v>1246</v>
      </c>
      <c r="I25" s="8">
        <v>310</v>
      </c>
      <c r="J25" s="8">
        <v>418500</v>
      </c>
      <c r="K25" s="8" t="s">
        <v>1282</v>
      </c>
      <c r="L25" s="8">
        <v>25000</v>
      </c>
      <c r="M25" s="8">
        <v>0</v>
      </c>
      <c r="N25" s="8">
        <v>443500</v>
      </c>
      <c r="P25" t="s">
        <v>1249</v>
      </c>
    </row>
    <row r="26" spans="1:16">
      <c r="A26" s="4" t="s">
        <v>1284</v>
      </c>
      <c r="B26" s="4" t="s">
        <v>50</v>
      </c>
      <c r="C26" s="4" t="s">
        <v>1271</v>
      </c>
      <c r="D26" s="4">
        <v>4</v>
      </c>
      <c r="E26" s="4">
        <v>1350</v>
      </c>
      <c r="F26" s="4" t="s">
        <v>1272</v>
      </c>
      <c r="G26" s="4" t="s">
        <v>1245</v>
      </c>
      <c r="H26" s="4" t="s">
        <v>1246</v>
      </c>
      <c r="I26" s="8">
        <v>310</v>
      </c>
      <c r="J26" s="8">
        <v>418500</v>
      </c>
      <c r="K26" s="8" t="s">
        <v>1282</v>
      </c>
      <c r="L26" s="8">
        <v>25000</v>
      </c>
      <c r="M26" s="8">
        <v>7500</v>
      </c>
      <c r="N26" s="8">
        <v>451000</v>
      </c>
      <c r="O26" t="s">
        <v>1268</v>
      </c>
      <c r="P26" t="s">
        <v>1249</v>
      </c>
    </row>
    <row r="27" spans="1:16">
      <c r="A27" s="4" t="s">
        <v>1285</v>
      </c>
      <c r="B27" s="4" t="s">
        <v>50</v>
      </c>
      <c r="C27" s="4" t="s">
        <v>1271</v>
      </c>
      <c r="D27" s="4">
        <v>4</v>
      </c>
      <c r="E27" s="4">
        <v>1350</v>
      </c>
      <c r="F27" s="4" t="s">
        <v>1272</v>
      </c>
      <c r="G27" s="4" t="s">
        <v>1245</v>
      </c>
      <c r="H27" s="4" t="s">
        <v>1246</v>
      </c>
      <c r="I27" s="8">
        <v>310</v>
      </c>
      <c r="J27" s="8">
        <v>418500</v>
      </c>
      <c r="K27" s="8" t="s">
        <v>1282</v>
      </c>
      <c r="L27" s="8">
        <v>25000</v>
      </c>
      <c r="M27" s="8">
        <v>22500</v>
      </c>
      <c r="N27" s="8">
        <v>466000</v>
      </c>
      <c r="O27" t="s">
        <v>1286</v>
      </c>
      <c r="P27" t="s">
        <v>1249</v>
      </c>
    </row>
  </sheetData>
  <mergeCells count="1">
    <mergeCell ref="A1:P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7"/>
  <sheetViews>
    <sheetView tabSelected="1" workbookViewId="0">
      <selection activeCell="H25" sqref="H25"/>
    </sheetView>
  </sheetViews>
  <sheetFormatPr defaultRowHeight="14.25"/>
  <cols>
    <col min="1" max="1" width="16" customWidth="1"/>
    <col min="2" max="2" width="18" customWidth="1"/>
    <col min="3" max="3" width="9" customWidth="1"/>
    <col min="4" max="4" width="11" customWidth="1"/>
    <col min="5" max="5" width="9" customWidth="1"/>
    <col min="6" max="6" width="11" customWidth="1"/>
    <col min="7" max="7" width="16" customWidth="1"/>
    <col min="8" max="8" width="34" customWidth="1"/>
    <col min="9" max="9" width="26" customWidth="1"/>
    <col min="10" max="10" width="25" customWidth="1"/>
  </cols>
  <sheetData>
    <row r="1" spans="1:10" ht="20.25">
      <c r="A1" s="19" t="s">
        <v>1287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ht="15">
      <c r="A3" s="14" t="s">
        <v>37</v>
      </c>
      <c r="B3" s="14" t="s">
        <v>1229</v>
      </c>
      <c r="C3" s="14" t="s">
        <v>38</v>
      </c>
      <c r="D3" s="14" t="s">
        <v>1230</v>
      </c>
      <c r="E3" s="14" t="s">
        <v>40</v>
      </c>
      <c r="F3" s="14" t="s">
        <v>1233</v>
      </c>
      <c r="G3" s="14" t="s">
        <v>1288</v>
      </c>
      <c r="H3" s="14" t="s">
        <v>1289</v>
      </c>
      <c r="I3" s="14" t="s">
        <v>1290</v>
      </c>
      <c r="J3" s="14" t="s">
        <v>1</v>
      </c>
    </row>
    <row r="4" spans="1:10">
      <c r="A4" t="s">
        <v>42</v>
      </c>
      <c r="B4" t="s">
        <v>1243</v>
      </c>
      <c r="C4">
        <v>2</v>
      </c>
      <c r="D4">
        <v>750</v>
      </c>
      <c r="E4">
        <v>4</v>
      </c>
      <c r="F4" s="7">
        <v>330</v>
      </c>
      <c r="G4" s="7">
        <v>247500</v>
      </c>
      <c r="H4" t="s">
        <v>1291</v>
      </c>
      <c r="I4" t="s">
        <v>1292</v>
      </c>
      <c r="J4" t="s">
        <v>1293</v>
      </c>
    </row>
    <row r="5" spans="1:10">
      <c r="A5" t="s">
        <v>45</v>
      </c>
      <c r="B5" t="s">
        <v>1243</v>
      </c>
      <c r="C5">
        <v>3</v>
      </c>
      <c r="D5">
        <v>950</v>
      </c>
      <c r="E5">
        <v>8</v>
      </c>
      <c r="F5" s="7">
        <v>325</v>
      </c>
      <c r="G5" s="7">
        <v>308750</v>
      </c>
      <c r="H5" t="s">
        <v>1291</v>
      </c>
      <c r="I5" t="s">
        <v>1294</v>
      </c>
      <c r="J5" t="s">
        <v>1295</v>
      </c>
    </row>
    <row r="6" spans="1:10">
      <c r="A6" t="s">
        <v>48</v>
      </c>
      <c r="B6" t="s">
        <v>1271</v>
      </c>
      <c r="C6">
        <v>3</v>
      </c>
      <c r="D6">
        <v>1050</v>
      </c>
      <c r="E6">
        <v>6</v>
      </c>
      <c r="F6" s="7">
        <v>320</v>
      </c>
      <c r="G6" s="7">
        <v>336000</v>
      </c>
      <c r="H6" t="s">
        <v>1296</v>
      </c>
      <c r="I6" t="s">
        <v>1297</v>
      </c>
      <c r="J6" t="s">
        <v>1298</v>
      </c>
    </row>
    <row r="7" spans="1:10">
      <c r="A7" t="s">
        <v>50</v>
      </c>
      <c r="B7" t="s">
        <v>1271</v>
      </c>
      <c r="C7">
        <v>4</v>
      </c>
      <c r="D7">
        <v>1350</v>
      </c>
      <c r="E7">
        <v>6</v>
      </c>
      <c r="F7" s="7">
        <v>310</v>
      </c>
      <c r="G7" s="7">
        <v>418500</v>
      </c>
      <c r="H7" t="s">
        <v>1299</v>
      </c>
      <c r="I7" t="s">
        <v>1300</v>
      </c>
      <c r="J7" t="s">
        <v>1301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 Me</vt:lpstr>
      <vt:lpstr>Development Setup</vt:lpstr>
      <vt:lpstr>Cost Code Master</vt:lpstr>
      <vt:lpstr>Original Budget</vt:lpstr>
      <vt:lpstr>Package PO Plan</vt:lpstr>
      <vt:lpstr>Commercial Events</vt:lpstr>
      <vt:lpstr>Certificates</vt:lpstr>
      <vt:lpstr>Ledger</vt:lpstr>
      <vt:lpstr>Forecast Adjustments</vt:lpstr>
      <vt:lpstr>Expected CVR</vt:lpstr>
      <vt:lpstr>UAT Scenarios</vt:lpstr>
      <vt:lpstr>Matrix Index</vt:lpstr>
      <vt:lpstr>Matrix Stage Profiles</vt:lpstr>
      <vt:lpstr>Plot Schedule Control</vt:lpstr>
      <vt:lpstr>Revenue Strategy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David Morris</cp:lastModifiedBy>
  <dcterms:created xsi:type="dcterms:W3CDTF">2026-08-14T14:00:06Z</dcterms:created>
  <dcterms:modified xsi:type="dcterms:W3CDTF">2026-08-14T14:00:06Z</dcterms:modified>
</cp:coreProperties>
</file>